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338739409\Desktop\Excel Basico\"/>
    </mc:Choice>
  </mc:AlternateContent>
  <xr:revisionPtr revIDLastSave="0" documentId="13_ncr:1_{5E2D2388-D21E-4C80-8DB4-365DD2F97A3B}" xr6:coauthVersionLast="36" xr6:coauthVersionMax="36" xr10:uidLastSave="{00000000-0000-0000-0000-000000000000}"/>
  <bookViews>
    <workbookView xWindow="0" yWindow="0" windowWidth="20490" windowHeight="7545" xr2:uid="{C5849929-2E76-48F2-8E66-6624B4C8317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27" i="1" l="1"/>
  <c r="F26" i="1"/>
  <c r="F25" i="1"/>
  <c r="F24" i="1"/>
  <c r="F23" i="1"/>
  <c r="F14" i="1"/>
  <c r="F15" i="1"/>
  <c r="F16" i="1"/>
  <c r="F17" i="1"/>
  <c r="F18" i="1"/>
  <c r="E23" i="1"/>
  <c r="E24" i="1"/>
  <c r="E25" i="1"/>
  <c r="E26" i="1"/>
  <c r="E27" i="1"/>
  <c r="D23" i="1"/>
  <c r="D24" i="1"/>
  <c r="D25" i="1"/>
  <c r="D26" i="1"/>
  <c r="D27" i="1"/>
  <c r="C23" i="1"/>
  <c r="C24" i="1"/>
  <c r="C25" i="1"/>
  <c r="C26" i="1"/>
  <c r="C27" i="1"/>
  <c r="B23" i="1"/>
  <c r="B24" i="1"/>
  <c r="B25" i="1"/>
  <c r="B26" i="1"/>
  <c r="B27" i="1"/>
  <c r="N24" i="1"/>
  <c r="N25" i="1"/>
  <c r="N26" i="1"/>
  <c r="N27" i="1"/>
  <c r="N23" i="1"/>
  <c r="M24" i="1"/>
  <c r="M25" i="1"/>
  <c r="M26" i="1"/>
  <c r="M27" i="1"/>
  <c r="M23" i="1"/>
  <c r="L24" i="1"/>
  <c r="L25" i="1"/>
  <c r="L26" i="1"/>
  <c r="L27" i="1"/>
  <c r="L23" i="1"/>
  <c r="K24" i="1"/>
  <c r="K25" i="1"/>
  <c r="K26" i="1"/>
  <c r="K27" i="1"/>
  <c r="K23" i="1"/>
  <c r="J24" i="1"/>
  <c r="J25" i="1"/>
  <c r="J26" i="1"/>
  <c r="J27" i="1"/>
  <c r="J23" i="1"/>
  <c r="N15" i="1"/>
  <c r="N16" i="1"/>
  <c r="N17" i="1"/>
  <c r="N18" i="1"/>
  <c r="N14" i="1"/>
  <c r="N8" i="1"/>
  <c r="N6" i="1"/>
  <c r="N7" i="1"/>
  <c r="N5" i="1"/>
  <c r="N4" i="1"/>
</calcChain>
</file>

<file path=xl/sharedStrings.xml><?xml version="1.0" encoding="utf-8"?>
<sst xmlns="http://schemas.openxmlformats.org/spreadsheetml/2006/main" count="76" uniqueCount="17">
  <si>
    <t>Formatada como tabela</t>
  </si>
  <si>
    <t>Formatada como Intervalo de dados</t>
  </si>
  <si>
    <t>Vendas Ano Fiscal 2017</t>
  </si>
  <si>
    <t>Vendedores</t>
  </si>
  <si>
    <t>1º Trim.</t>
  </si>
  <si>
    <t>2º Trim.</t>
  </si>
  <si>
    <t>3º Trim.</t>
  </si>
  <si>
    <t>4º Trim.</t>
  </si>
  <si>
    <t>Total</t>
  </si>
  <si>
    <t>Anderson Quintana</t>
  </si>
  <si>
    <t>Bernadete Oliveira</t>
  </si>
  <si>
    <t>Carmen Guimarães</t>
  </si>
  <si>
    <t>Maria Amélia Dias</t>
  </si>
  <si>
    <t>Mario Luigi Souza</t>
  </si>
  <si>
    <t>Vendas Ano Fiscal 2018</t>
  </si>
  <si>
    <t>2017 + 2018</t>
  </si>
  <si>
    <t>Total 2017 + 2018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</si>
</sst>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rgb="FF0B7406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</borders>
  <cellStyleXfs count="4">
    <xf numFmtId="0" fontId="0" fillId="0" borderId="0"/>
    <xf numFmtId="0" fontId="2" fillId="3" borderId="0" applyNumberFormat="0" applyBorder="0" applyProtection="0"/>
    <xf numFmtId="0" fontId="1" fillId="5" borderId="0"/>
    <xf numFmtId="0" fontId="1" fillId="6" borderId="1"/>
  </cellStyleXfs>
  <cellXfs count="29">
    <xf numFmtId="0" fontId="0" fillId="0" borderId="0" xfId="0"/>
    <xf numFmtId="0" fontId="2" fillId="3" borderId="5" xfId="1" applyFont="1" applyBorder="1"/>
    <xf numFmtId="0" fontId="2" fillId="3" borderId="6" xfId="1" applyFont="1" applyBorder="1"/>
    <xf numFmtId="0" fontId="2" fillId="3" borderId="7" xfId="1" applyFont="1" applyBorder="1"/>
    <xf numFmtId="3" fontId="0" fillId="0" borderId="0" xfId="0" applyNumberFormat="1" applyAlignment="1">
      <alignment horizontal="center"/>
    </xf>
    <xf numFmtId="3" fontId="0" fillId="0" borderId="0" xfId="0" applyNumberFormat="1"/>
    <xf numFmtId="0" fontId="1" fillId="5" borderId="8" xfId="2" applyFont="1" applyBorder="1" applyAlignment="1">
      <alignment horizontal="left"/>
    </xf>
    <xf numFmtId="3" fontId="1" fillId="5" borderId="9" xfId="2" applyNumberFormat="1" applyFont="1" applyBorder="1" applyAlignment="1">
      <alignment horizontal="right"/>
    </xf>
    <xf numFmtId="3" fontId="1" fillId="6" borderId="10" xfId="3" applyNumberFormat="1" applyFont="1" applyBorder="1"/>
    <xf numFmtId="0" fontId="1" fillId="5" borderId="11" xfId="2" applyFont="1" applyBorder="1" applyAlignment="1">
      <alignment horizontal="left"/>
    </xf>
    <xf numFmtId="3" fontId="1" fillId="5" borderId="12" xfId="2" applyNumberFormat="1" applyFont="1" applyBorder="1" applyAlignment="1">
      <alignment horizontal="right"/>
    </xf>
    <xf numFmtId="0" fontId="3" fillId="3" borderId="2" xfId="1" applyFont="1" applyBorder="1" applyAlignment="1">
      <alignment horizontal="left"/>
    </xf>
    <xf numFmtId="0" fontId="3" fillId="3" borderId="3" xfId="1" applyFont="1" applyBorder="1" applyAlignment="1">
      <alignment horizontal="left"/>
    </xf>
    <xf numFmtId="0" fontId="3" fillId="3" borderId="4" xfId="1" applyFont="1" applyBorder="1" applyAlignment="1">
      <alignment horizontal="left"/>
    </xf>
    <xf numFmtId="0" fontId="6" fillId="0" borderId="0" xfId="0" applyFont="1" applyFill="1" applyBorder="1"/>
    <xf numFmtId="0" fontId="7" fillId="0" borderId="0" xfId="0" applyFont="1" applyFill="1" applyBorder="1"/>
    <xf numFmtId="3" fontId="7" fillId="0" borderId="0" xfId="0" applyNumberFormat="1" applyFont="1" applyFill="1" applyBorder="1"/>
    <xf numFmtId="0" fontId="4" fillId="4" borderId="2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3" borderId="2" xfId="1" applyFont="1" applyBorder="1" applyAlignment="1">
      <alignment horizontal="left"/>
    </xf>
    <xf numFmtId="0" fontId="3" fillId="3" borderId="3" xfId="1" applyFont="1" applyBorder="1" applyAlignment="1">
      <alignment horizontal="left"/>
    </xf>
    <xf numFmtId="0" fontId="3" fillId="3" borderId="4" xfId="1" applyFont="1" applyBorder="1" applyAlignment="1">
      <alignment horizontal="left"/>
    </xf>
  </cellXfs>
  <cellStyles count="4">
    <cellStyle name="Cabeçalho 3 2" xfId="1" xr:uid="{F7E79731-FC8A-49BB-B59E-63536EE4A957}"/>
    <cellStyle name="Célula amarela 2 2" xfId="3" xr:uid="{B6623452-4094-4F55-AC5A-1ABAD31E6D15}"/>
    <cellStyle name="Célula cinza 2 2" xfId="2" xr:uid="{E8EDECCC-ED8A-4BB9-8EE8-9DE73CB95ACD}"/>
    <cellStyle name="Normal" xfId="0" builtinId="0"/>
  </cellStyles>
  <dxfs count="36"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" formatCode="#,##0"/>
    </dxf>
    <dxf>
      <numFmt numFmtId="3" formatCode="#,##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61BCF-F47D-47F8-931C-F4E4B2C54AE9}" name="vendas_2017" displayName="vendas_2017" ref="A3:F8" dataDxfId="35">
  <autoFilter ref="A3:F8" xr:uid="{0758641A-8956-4BA2-8235-DA7DEB47E3EA}"/>
  <tableColumns count="6">
    <tableColumn id="1" xr3:uid="{8BF4C54D-DF5A-4929-846C-9AEA1957601C}" name="Vendedores" totalsRowLabel="Total"/>
    <tableColumn id="2" xr3:uid="{963A17A8-FCC3-4DB2-BE31-0016E2CDEC5B}" name="1º Trim." dataDxfId="34" totalsRowDxfId="33"/>
    <tableColumn id="3" xr3:uid="{EFA0D371-AEFE-4201-BAB5-228D9C042ECB}" name="2º Trim." dataDxfId="32" totalsRowDxfId="31"/>
    <tableColumn id="4" xr3:uid="{61D216F8-3841-4E3F-B73E-F8F70E1D6E2C}" name="3º Trim." dataDxfId="30" totalsRowDxfId="29"/>
    <tableColumn id="5" xr3:uid="{95C36148-DF95-4CAC-AE6B-CC8E4D7A7841}" name="4º Trim." dataDxfId="28" totalsRowDxfId="27"/>
    <tableColumn id="6" xr3:uid="{3272CD1E-19A2-4738-A7DD-5809752D74C2}" name="Total" totalsRowFunction="sum" dataDxfId="0" totalsRowDxfId="26">
      <calculatedColumnFormula>SUM(B4,C4,D4,E4)</calculatedColumnFormula>
    </tableColumn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0467ED-B5D0-433D-B26E-3F5AB9355603}" name="vendas_2018" displayName="vendas_2018" ref="A13:F18" dataDxfId="25">
  <autoFilter ref="A13:F18" xr:uid="{A0331FD8-47C5-4D93-B006-D407A9A9261C}"/>
  <tableColumns count="6">
    <tableColumn id="1" xr3:uid="{3AB7BA05-777C-44CA-8211-39EA6E0EC99A}" name="Vendedores" totalsRowLabel="Total"/>
    <tableColumn id="2" xr3:uid="{CA07B777-8209-401F-BEAC-6B71217A0A98}" name="1º Trim." totalsRowFunction="custom" dataDxfId="24" totalsRowDxfId="23">
      <totalsRowFormula>B14+B15+B16+B17+B18</totalsRowFormula>
    </tableColumn>
    <tableColumn id="3" xr3:uid="{A7F8F94E-1757-4AF1-A2CB-77FFDD3178E2}" name="2º Trim." dataDxfId="22" totalsRowDxfId="21"/>
    <tableColumn id="4" xr3:uid="{7CDC1AE3-48AD-4D47-8C40-347379EE20E6}" name="3º Trim." dataDxfId="20" totalsRowDxfId="19"/>
    <tableColumn id="5" xr3:uid="{CF0DA7E9-1B8F-4B5E-B718-007390B5BEAE}" name="4º Trim." dataDxfId="18" totalsRowDxfId="17"/>
    <tableColumn id="6" xr3:uid="{DB1667D1-0F68-41B3-A8BF-1F2FF3043FA9}" name="Total" dataDxfId="16" totalsRowDxfId="15">
      <calculatedColumnFormula>B14+C14+D14+E14</calculatedColumnFormula>
    </tableColumn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243EA6-96F4-4840-8FE3-BE2C5206B457}" name="tbl_vendedores" displayName="tbl_vendedores" ref="A22:F27" headerRowDxfId="14" dataDxfId="13">
  <autoFilter ref="A22:F27" xr:uid="{88B9CC94-AF90-4CEA-9121-9247F2E4D1CD}"/>
  <tableColumns count="6">
    <tableColumn id="1" xr3:uid="{0E60CB73-D78D-4008-B7C4-0C1B7CA1A754}" name="Vendedores" totalsRowLabel="Total" dataDxfId="12" totalsRowDxfId="11"/>
    <tableColumn id="2" xr3:uid="{A6D3B0EC-26CC-44F7-ACFA-E49905C9FD7F}" name="1º Trim." dataDxfId="10" totalsRowDxfId="9">
      <calculatedColumnFormula>B4+B14</calculatedColumnFormula>
    </tableColumn>
    <tableColumn id="3" xr3:uid="{245DD537-AA9C-42A7-A0DE-64F023F7AEB4}" name="2º Trim." dataDxfId="8" totalsRowDxfId="7">
      <calculatedColumnFormula>C4+C14</calculatedColumnFormula>
    </tableColumn>
    <tableColumn id="4" xr3:uid="{B8CD7A08-34B8-45CF-92B1-2F74F12F8358}" name="3º Trim." dataDxfId="6" totalsRowDxfId="5">
      <calculatedColumnFormula>D4+D14</calculatedColumnFormula>
    </tableColumn>
    <tableColumn id="5" xr3:uid="{873BBFE7-7CF3-4E46-9D15-6CD3B1CA8090}" name="4º Trim." dataDxfId="4" totalsRowDxfId="3">
      <calculatedColumnFormula>E4+E14</calculatedColumnFormula>
    </tableColumn>
    <tableColumn id="6" xr3:uid="{5C47E569-A503-4BDF-AF78-186ADBAEF571}" name="Total 2017 + 2018" totalsRowFunction="count" dataDxfId="2" totalsRowDxfId="1">
      <calculatedColumnFormula>F4+F14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DEB5-24A6-4DF8-A4F2-320F0134AAA4}">
  <dimension ref="A1:N30"/>
  <sheetViews>
    <sheetView tabSelected="1" zoomScaleNormal="100" workbookViewId="0">
      <selection activeCell="H18" sqref="H18"/>
    </sheetView>
  </sheetViews>
  <sheetFormatPr defaultRowHeight="15" x14ac:dyDescent="0.25"/>
  <cols>
    <col min="1" max="1" width="18.42578125" bestFit="1" customWidth="1"/>
    <col min="2" max="5" width="10.28515625" bestFit="1" customWidth="1"/>
    <col min="6" max="6" width="18.42578125" bestFit="1" customWidth="1"/>
    <col min="9" max="9" width="23.85546875" bestFit="1" customWidth="1"/>
    <col min="10" max="13" width="7.85546875" bestFit="1" customWidth="1"/>
    <col min="14" max="14" width="16.140625" bestFit="1" customWidth="1"/>
  </cols>
  <sheetData>
    <row r="1" spans="1:14" ht="16.5" thickBot="1" x14ac:dyDescent="0.3">
      <c r="A1" s="23" t="s">
        <v>0</v>
      </c>
      <c r="B1" s="24"/>
      <c r="C1" s="24"/>
      <c r="D1" s="24"/>
      <c r="E1" s="24"/>
      <c r="F1" s="25"/>
      <c r="I1" s="26" t="s">
        <v>1</v>
      </c>
      <c r="J1" s="27"/>
      <c r="K1" s="27"/>
      <c r="L1" s="27"/>
      <c r="M1" s="27"/>
      <c r="N1" s="28"/>
    </row>
    <row r="2" spans="1:14" ht="16.5" thickBot="1" x14ac:dyDescent="0.3">
      <c r="A2" s="17" t="s">
        <v>2</v>
      </c>
      <c r="B2" s="18"/>
      <c r="C2" s="18"/>
      <c r="D2" s="18"/>
      <c r="E2" s="18"/>
      <c r="F2" s="19"/>
      <c r="I2" s="26" t="s">
        <v>2</v>
      </c>
      <c r="J2" s="27"/>
      <c r="K2" s="27"/>
      <c r="L2" s="27"/>
      <c r="M2" s="27"/>
      <c r="N2" s="28"/>
    </row>
    <row r="3" spans="1:14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I3" s="1" t="s">
        <v>3</v>
      </c>
      <c r="J3" s="2" t="s">
        <v>4</v>
      </c>
      <c r="K3" s="2" t="s">
        <v>5</v>
      </c>
      <c r="L3" s="2" t="s">
        <v>6</v>
      </c>
      <c r="M3" s="2" t="s">
        <v>7</v>
      </c>
      <c r="N3" s="3" t="s">
        <v>8</v>
      </c>
    </row>
    <row r="4" spans="1:14" x14ac:dyDescent="0.25">
      <c r="A4" t="s">
        <v>9</v>
      </c>
      <c r="B4" s="4">
        <v>88729</v>
      </c>
      <c r="C4" s="4">
        <v>67609</v>
      </c>
      <c r="D4" s="4">
        <v>93246</v>
      </c>
      <c r="E4" s="4">
        <v>29953</v>
      </c>
      <c r="F4" s="5">
        <f t="shared" ref="F4:F8" si="0">SUM(B4,C4,D4,E4)</f>
        <v>279537</v>
      </c>
      <c r="I4" s="6" t="s">
        <v>9</v>
      </c>
      <c r="J4" s="7">
        <v>88729</v>
      </c>
      <c r="K4" s="7">
        <v>67609</v>
      </c>
      <c r="L4" s="7">
        <v>93246</v>
      </c>
      <c r="M4" s="7">
        <v>29953</v>
      </c>
      <c r="N4" s="8">
        <f>J4+K4+L4+M4</f>
        <v>279537</v>
      </c>
    </row>
    <row r="5" spans="1:14" x14ac:dyDescent="0.25">
      <c r="A5" t="s">
        <v>10</v>
      </c>
      <c r="B5" s="4">
        <v>46181</v>
      </c>
      <c r="C5" s="4">
        <v>79770</v>
      </c>
      <c r="D5" s="4">
        <v>21976</v>
      </c>
      <c r="E5" s="4">
        <v>80987</v>
      </c>
      <c r="F5" s="5">
        <f t="shared" si="0"/>
        <v>228914</v>
      </c>
      <c r="I5" s="6" t="s">
        <v>10</v>
      </c>
      <c r="J5" s="7">
        <v>46181</v>
      </c>
      <c r="K5" s="7">
        <v>79770</v>
      </c>
      <c r="L5" s="7">
        <v>21976</v>
      </c>
      <c r="M5" s="7">
        <v>80987</v>
      </c>
      <c r="N5" s="8">
        <f>J5+K5+L5+M5</f>
        <v>228914</v>
      </c>
    </row>
    <row r="6" spans="1:14" x14ac:dyDescent="0.25">
      <c r="A6" t="s">
        <v>11</v>
      </c>
      <c r="B6" s="4">
        <v>95107</v>
      </c>
      <c r="C6" s="4">
        <v>90574</v>
      </c>
      <c r="D6" s="4">
        <v>34058</v>
      </c>
      <c r="E6" s="4">
        <v>75432</v>
      </c>
      <c r="F6" s="5">
        <f t="shared" si="0"/>
        <v>295171</v>
      </c>
      <c r="I6" s="6" t="s">
        <v>11</v>
      </c>
      <c r="J6" s="7">
        <v>95107</v>
      </c>
      <c r="K6" s="7">
        <v>90574</v>
      </c>
      <c r="L6" s="7">
        <v>34058</v>
      </c>
      <c r="M6" s="7">
        <v>75432</v>
      </c>
      <c r="N6" s="8">
        <f t="shared" ref="N6:N7" si="1">J6+K6+L6+M6</f>
        <v>295171</v>
      </c>
    </row>
    <row r="7" spans="1:14" x14ac:dyDescent="0.25">
      <c r="A7" t="s">
        <v>12</v>
      </c>
      <c r="B7" s="4">
        <v>37209</v>
      </c>
      <c r="C7" s="4">
        <v>72958</v>
      </c>
      <c r="D7" s="4">
        <v>80278</v>
      </c>
      <c r="E7" s="4">
        <v>63954</v>
      </c>
      <c r="F7" s="5">
        <f t="shared" si="0"/>
        <v>254399</v>
      </c>
      <c r="I7" s="6" t="s">
        <v>12</v>
      </c>
      <c r="J7" s="7">
        <v>37209</v>
      </c>
      <c r="K7" s="7">
        <v>72958</v>
      </c>
      <c r="L7" s="7">
        <v>80278</v>
      </c>
      <c r="M7" s="7">
        <v>63954</v>
      </c>
      <c r="N7" s="8">
        <f t="shared" si="1"/>
        <v>254399</v>
      </c>
    </row>
    <row r="8" spans="1:14" ht="15.75" thickBot="1" x14ac:dyDescent="0.3">
      <c r="A8" t="s">
        <v>13</v>
      </c>
      <c r="B8" s="4">
        <v>88342</v>
      </c>
      <c r="C8" s="4">
        <v>96535</v>
      </c>
      <c r="D8" s="4">
        <v>40843</v>
      </c>
      <c r="E8" s="4">
        <v>82453</v>
      </c>
      <c r="F8" s="5">
        <f t="shared" si="0"/>
        <v>308173</v>
      </c>
      <c r="I8" s="9" t="s">
        <v>13</v>
      </c>
      <c r="J8" s="10">
        <v>88342</v>
      </c>
      <c r="K8" s="10">
        <v>96535</v>
      </c>
      <c r="L8" s="10">
        <v>40843</v>
      </c>
      <c r="M8" s="10">
        <v>82453</v>
      </c>
      <c r="N8" s="8">
        <f>J8+K8+L8+M8</f>
        <v>308173</v>
      </c>
    </row>
    <row r="10" spans="1:14" ht="15.75" thickBot="1" x14ac:dyDescent="0.3"/>
    <row r="11" spans="1:14" ht="16.5" thickBot="1" x14ac:dyDescent="0.3">
      <c r="A11" s="23" t="s">
        <v>0</v>
      </c>
      <c r="B11" s="24"/>
      <c r="C11" s="24"/>
      <c r="D11" s="24"/>
      <c r="E11" s="24"/>
      <c r="F11" s="25"/>
      <c r="I11" s="26" t="s">
        <v>1</v>
      </c>
      <c r="J11" s="27"/>
      <c r="K11" s="27"/>
      <c r="L11" s="27"/>
      <c r="M11" s="27"/>
      <c r="N11" s="28"/>
    </row>
    <row r="12" spans="1:14" ht="16.5" thickBot="1" x14ac:dyDescent="0.3">
      <c r="A12" s="17" t="s">
        <v>14</v>
      </c>
      <c r="B12" s="18"/>
      <c r="C12" s="18"/>
      <c r="D12" s="18"/>
      <c r="E12" s="18"/>
      <c r="F12" s="19"/>
      <c r="I12" s="11" t="s">
        <v>14</v>
      </c>
      <c r="J12" s="12"/>
      <c r="K12" s="12"/>
      <c r="L12" s="12"/>
      <c r="M12" s="12"/>
      <c r="N12" s="13"/>
    </row>
    <row r="13" spans="1:14" x14ac:dyDescent="0.25">
      <c r="A13" t="s">
        <v>3</v>
      </c>
      <c r="B13" t="s">
        <v>4</v>
      </c>
      <c r="C13" t="s">
        <v>5</v>
      </c>
      <c r="D13" t="s">
        <v>6</v>
      </c>
      <c r="E13" t="s">
        <v>7</v>
      </c>
      <c r="F13" t="s">
        <v>8</v>
      </c>
      <c r="I13" s="1" t="s">
        <v>3</v>
      </c>
      <c r="J13" s="2" t="s">
        <v>4</v>
      </c>
      <c r="K13" s="2" t="s">
        <v>5</v>
      </c>
      <c r="L13" s="2" t="s">
        <v>6</v>
      </c>
      <c r="M13" s="2" t="s">
        <v>7</v>
      </c>
      <c r="N13" s="3" t="s">
        <v>8</v>
      </c>
    </row>
    <row r="14" spans="1:14" x14ac:dyDescent="0.25">
      <c r="A14" t="s">
        <v>9</v>
      </c>
      <c r="B14" s="4">
        <v>68741</v>
      </c>
      <c r="C14" s="4">
        <v>47531</v>
      </c>
      <c r="D14" s="4">
        <v>117576</v>
      </c>
      <c r="E14" s="4">
        <v>126273</v>
      </c>
      <c r="F14" s="5">
        <f>B14+C14+D14+E14</f>
        <v>360121</v>
      </c>
      <c r="I14" s="6" t="s">
        <v>9</v>
      </c>
      <c r="J14" s="7">
        <v>131134</v>
      </c>
      <c r="K14" s="7">
        <v>21834</v>
      </c>
      <c r="L14" s="7">
        <v>126409</v>
      </c>
      <c r="M14" s="7">
        <v>47240</v>
      </c>
      <c r="N14" s="8">
        <f>J14+K14+L14+M14</f>
        <v>326617</v>
      </c>
    </row>
    <row r="15" spans="1:14" x14ac:dyDescent="0.25">
      <c r="A15" t="s">
        <v>10</v>
      </c>
      <c r="B15" s="4">
        <v>63602</v>
      </c>
      <c r="C15" s="4">
        <v>139505</v>
      </c>
      <c r="D15" s="4">
        <v>17286</v>
      </c>
      <c r="E15" s="4">
        <v>75507</v>
      </c>
      <c r="F15" s="5">
        <f>B15+C15+D15+E15</f>
        <v>295900</v>
      </c>
      <c r="I15" s="6" t="s">
        <v>10</v>
      </c>
      <c r="J15" s="7">
        <v>74241</v>
      </c>
      <c r="K15" s="7">
        <v>74394</v>
      </c>
      <c r="L15" s="7">
        <v>38756</v>
      </c>
      <c r="M15" s="7">
        <v>135047</v>
      </c>
      <c r="N15" s="8">
        <f t="shared" ref="N15:N18" si="2">J15+K15+L15+M15</f>
        <v>322438</v>
      </c>
    </row>
    <row r="16" spans="1:14" x14ac:dyDescent="0.25">
      <c r="A16" t="s">
        <v>11</v>
      </c>
      <c r="B16" s="4">
        <v>83325</v>
      </c>
      <c r="C16" s="4">
        <v>15986</v>
      </c>
      <c r="D16" s="4">
        <v>110490</v>
      </c>
      <c r="E16" s="4">
        <v>108198</v>
      </c>
      <c r="F16" s="5">
        <f>B16+C16+D16+E16</f>
        <v>317999</v>
      </c>
      <c r="I16" s="6" t="s">
        <v>11</v>
      </c>
      <c r="J16" s="7">
        <v>104215</v>
      </c>
      <c r="K16" s="7">
        <v>34540</v>
      </c>
      <c r="L16" s="7">
        <v>150243</v>
      </c>
      <c r="M16" s="7">
        <v>72932</v>
      </c>
      <c r="N16" s="8">
        <f t="shared" si="2"/>
        <v>361930</v>
      </c>
    </row>
    <row r="17" spans="1:14" x14ac:dyDescent="0.25">
      <c r="A17" t="s">
        <v>12</v>
      </c>
      <c r="B17" s="4">
        <v>77602</v>
      </c>
      <c r="C17" s="4">
        <v>114284</v>
      </c>
      <c r="D17" s="4">
        <v>62307</v>
      </c>
      <c r="E17" s="4">
        <v>147244</v>
      </c>
      <c r="F17" s="5">
        <f>B17+C17+D17+E17</f>
        <v>401437</v>
      </c>
      <c r="I17" s="6" t="s">
        <v>12</v>
      </c>
      <c r="J17" s="7">
        <v>131609</v>
      </c>
      <c r="K17" s="7">
        <v>123700</v>
      </c>
      <c r="L17" s="7">
        <v>52464</v>
      </c>
      <c r="M17" s="7">
        <v>51601</v>
      </c>
      <c r="N17" s="8">
        <f t="shared" si="2"/>
        <v>359374</v>
      </c>
    </row>
    <row r="18" spans="1:14" ht="15.75" thickBot="1" x14ac:dyDescent="0.3">
      <c r="A18" t="s">
        <v>13</v>
      </c>
      <c r="B18" s="4">
        <v>80434</v>
      </c>
      <c r="C18" s="4">
        <v>65283</v>
      </c>
      <c r="D18" s="4">
        <v>21133</v>
      </c>
      <c r="E18" s="4">
        <v>68757</v>
      </c>
      <c r="F18" s="5">
        <f t="shared" ref="F18" si="3">B18+C18+D18+E18</f>
        <v>235607</v>
      </c>
      <c r="I18" s="9" t="s">
        <v>13</v>
      </c>
      <c r="J18" s="10">
        <v>88218</v>
      </c>
      <c r="K18" s="10">
        <v>57626</v>
      </c>
      <c r="L18" s="10">
        <v>47814</v>
      </c>
      <c r="M18" s="10">
        <v>51163</v>
      </c>
      <c r="N18" s="8">
        <f t="shared" si="2"/>
        <v>244821</v>
      </c>
    </row>
    <row r="20" spans="1:14" ht="15.75" thickBot="1" x14ac:dyDescent="0.3"/>
    <row r="21" spans="1:14" ht="16.5" thickBot="1" x14ac:dyDescent="0.3">
      <c r="A21" s="20" t="s">
        <v>15</v>
      </c>
      <c r="B21" s="21"/>
      <c r="C21" s="21"/>
      <c r="D21" s="21"/>
      <c r="E21" s="21"/>
      <c r="F21" s="22"/>
      <c r="I21" s="20" t="s">
        <v>15</v>
      </c>
      <c r="J21" s="21"/>
      <c r="K21" s="21"/>
      <c r="L21" s="21"/>
      <c r="M21" s="21"/>
      <c r="N21" s="22"/>
    </row>
    <row r="22" spans="1:14" x14ac:dyDescent="0.25">
      <c r="A22" s="14" t="s">
        <v>3</v>
      </c>
      <c r="B22" s="14" t="s">
        <v>4</v>
      </c>
      <c r="C22" s="14" t="s">
        <v>5</v>
      </c>
      <c r="D22" s="14" t="s">
        <v>6</v>
      </c>
      <c r="E22" s="14" t="s">
        <v>7</v>
      </c>
      <c r="F22" s="14" t="s">
        <v>16</v>
      </c>
      <c r="I22" s="1" t="s">
        <v>3</v>
      </c>
      <c r="J22" s="2" t="s">
        <v>4</v>
      </c>
      <c r="K22" s="2" t="s">
        <v>5</v>
      </c>
      <c r="L22" s="2" t="s">
        <v>6</v>
      </c>
      <c r="M22" s="2" t="s">
        <v>7</v>
      </c>
      <c r="N22" s="3" t="s">
        <v>16</v>
      </c>
    </row>
    <row r="23" spans="1:14" x14ac:dyDescent="0.25">
      <c r="A23" s="15" t="s">
        <v>9</v>
      </c>
      <c r="B23" s="16">
        <f t="shared" ref="B23:B27" si="4">B4+B14</f>
        <v>157470</v>
      </c>
      <c r="C23" s="16">
        <f t="shared" ref="C23:C27" si="5">C4+C14</f>
        <v>115140</v>
      </c>
      <c r="D23" s="16">
        <f t="shared" ref="D23:D27" si="6">D4+D14</f>
        <v>210822</v>
      </c>
      <c r="E23" s="16">
        <f t="shared" ref="E23:E27" si="7">E4+E14</f>
        <v>156226</v>
      </c>
      <c r="F23" s="16">
        <f>F4+F14</f>
        <v>639658</v>
      </c>
      <c r="I23" s="6" t="s">
        <v>9</v>
      </c>
      <c r="J23" s="7">
        <f>J4+J14</f>
        <v>219863</v>
      </c>
      <c r="K23" s="7">
        <f>K4+K14</f>
        <v>89443</v>
      </c>
      <c r="L23" s="7">
        <f>L4+L14</f>
        <v>219655</v>
      </c>
      <c r="M23" s="7">
        <f>M4+M14</f>
        <v>77193</v>
      </c>
      <c r="N23" s="8">
        <f>SUM(J23:M23)</f>
        <v>606154</v>
      </c>
    </row>
    <row r="24" spans="1:14" x14ac:dyDescent="0.25">
      <c r="A24" s="15" t="s">
        <v>10</v>
      </c>
      <c r="B24" s="16">
        <f t="shared" si="4"/>
        <v>109783</v>
      </c>
      <c r="C24" s="16">
        <f t="shared" si="5"/>
        <v>219275</v>
      </c>
      <c r="D24" s="16">
        <f t="shared" si="6"/>
        <v>39262</v>
      </c>
      <c r="E24" s="16">
        <f t="shared" si="7"/>
        <v>156494</v>
      </c>
      <c r="F24" s="16">
        <f>F5+F15</f>
        <v>524814</v>
      </c>
      <c r="I24" s="6" t="s">
        <v>10</v>
      </c>
      <c r="J24" s="7">
        <f t="shared" ref="J24:M27" si="8">J5+J15</f>
        <v>120422</v>
      </c>
      <c r="K24" s="7">
        <f t="shared" si="8"/>
        <v>154164</v>
      </c>
      <c r="L24" s="7">
        <f t="shared" si="8"/>
        <v>60732</v>
      </c>
      <c r="M24" s="7">
        <f t="shared" si="8"/>
        <v>216034</v>
      </c>
      <c r="N24" s="8">
        <f t="shared" ref="N24:N27" si="9">SUM(J24:M24)</f>
        <v>551352</v>
      </c>
    </row>
    <row r="25" spans="1:14" x14ac:dyDescent="0.25">
      <c r="A25" s="15" t="s">
        <v>11</v>
      </c>
      <c r="B25" s="16">
        <f t="shared" si="4"/>
        <v>178432</v>
      </c>
      <c r="C25" s="16">
        <f t="shared" si="5"/>
        <v>106560</v>
      </c>
      <c r="D25" s="16">
        <f t="shared" si="6"/>
        <v>144548</v>
      </c>
      <c r="E25" s="16">
        <f t="shared" si="7"/>
        <v>183630</v>
      </c>
      <c r="F25" s="16">
        <f>F6+F16</f>
        <v>613170</v>
      </c>
      <c r="I25" s="6" t="s">
        <v>11</v>
      </c>
      <c r="J25" s="7">
        <f t="shared" si="8"/>
        <v>199322</v>
      </c>
      <c r="K25" s="7">
        <f t="shared" si="8"/>
        <v>125114</v>
      </c>
      <c r="L25" s="7">
        <f t="shared" si="8"/>
        <v>184301</v>
      </c>
      <c r="M25" s="7">
        <f t="shared" si="8"/>
        <v>148364</v>
      </c>
      <c r="N25" s="8">
        <f t="shared" si="9"/>
        <v>657101</v>
      </c>
    </row>
    <row r="26" spans="1:14" x14ac:dyDescent="0.25">
      <c r="A26" s="15" t="s">
        <v>12</v>
      </c>
      <c r="B26" s="16">
        <f t="shared" si="4"/>
        <v>114811</v>
      </c>
      <c r="C26" s="16">
        <f t="shared" si="5"/>
        <v>187242</v>
      </c>
      <c r="D26" s="16">
        <f t="shared" si="6"/>
        <v>142585</v>
      </c>
      <c r="E26" s="16">
        <f t="shared" si="7"/>
        <v>211198</v>
      </c>
      <c r="F26" s="16">
        <f>F7+F17</f>
        <v>655836</v>
      </c>
      <c r="I26" s="6" t="s">
        <v>12</v>
      </c>
      <c r="J26" s="7">
        <f t="shared" si="8"/>
        <v>168818</v>
      </c>
      <c r="K26" s="7">
        <f t="shared" si="8"/>
        <v>196658</v>
      </c>
      <c r="L26" s="7">
        <f t="shared" si="8"/>
        <v>132742</v>
      </c>
      <c r="M26" s="7">
        <f t="shared" si="8"/>
        <v>115555</v>
      </c>
      <c r="N26" s="8">
        <f t="shared" si="9"/>
        <v>613773</v>
      </c>
    </row>
    <row r="27" spans="1:14" ht="15.75" thickBot="1" x14ac:dyDescent="0.3">
      <c r="A27" s="15" t="s">
        <v>13</v>
      </c>
      <c r="B27" s="16">
        <f t="shared" si="4"/>
        <v>168776</v>
      </c>
      <c r="C27" s="16">
        <f t="shared" si="5"/>
        <v>161818</v>
      </c>
      <c r="D27" s="16">
        <f t="shared" si="6"/>
        <v>61976</v>
      </c>
      <c r="E27" s="16">
        <f t="shared" si="7"/>
        <v>151210</v>
      </c>
      <c r="F27" s="16">
        <f>F8+F18</f>
        <v>543780</v>
      </c>
      <c r="I27" s="9" t="s">
        <v>13</v>
      </c>
      <c r="J27" s="7">
        <f t="shared" si="8"/>
        <v>176560</v>
      </c>
      <c r="K27" s="7">
        <f t="shared" si="8"/>
        <v>154161</v>
      </c>
      <c r="L27" s="7">
        <f t="shared" si="8"/>
        <v>88657</v>
      </c>
      <c r="M27" s="7">
        <f t="shared" si="8"/>
        <v>133616</v>
      </c>
      <c r="N27" s="8">
        <f t="shared" si="9"/>
        <v>552994</v>
      </c>
    </row>
    <row r="29" spans="1:14" x14ac:dyDescent="0.25">
      <c r="E29" s="5"/>
    </row>
    <row r="30" spans="1:14" x14ac:dyDescent="0.25">
      <c r="I30" s="5"/>
    </row>
  </sheetData>
  <mergeCells count="9">
    <mergeCell ref="A12:F12"/>
    <mergeCell ref="A21:F21"/>
    <mergeCell ref="I21:N21"/>
    <mergeCell ref="A1:F1"/>
    <mergeCell ref="I1:N1"/>
    <mergeCell ref="A2:F2"/>
    <mergeCell ref="I2:N2"/>
    <mergeCell ref="A11:F11"/>
    <mergeCell ref="I11:N11"/>
  </mergeCells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Lucas Silva da Luz</dc:creator>
  <cp:lastModifiedBy>RICARDO LEITE DA SILVA ROCHA</cp:lastModifiedBy>
  <dcterms:created xsi:type="dcterms:W3CDTF">2025-10-31T23:00:20Z</dcterms:created>
  <dcterms:modified xsi:type="dcterms:W3CDTF">2025-11-04T22:47:06Z</dcterms:modified>
</cp:coreProperties>
</file>