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1338739409\Desktop\Excel Basico\"/>
    </mc:Choice>
  </mc:AlternateContent>
  <xr:revisionPtr revIDLastSave="0" documentId="8_{4058C05B-796F-4303-8E82-36A7123542DF}" xr6:coauthVersionLast="36" xr6:coauthVersionMax="36" xr10:uidLastSave="{00000000-0000-0000-0000-000000000000}"/>
  <bookViews>
    <workbookView xWindow="0" yWindow="0" windowWidth="20490" windowHeight="7545" xr2:uid="{28C1B387-CF8B-41D1-8B23-8D40F339CE8B}"/>
  </bookViews>
  <sheets>
    <sheet name="Planilha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9" i="1" l="1"/>
  <c r="E3" i="1"/>
  <c r="E4" i="1"/>
  <c r="E5" i="1"/>
  <c r="E6" i="1"/>
  <c r="E7" i="1"/>
  <c r="B23" i="1" l="1"/>
  <c r="B16" i="1"/>
</calcChain>
</file>

<file path=xl/sharedStrings.xml><?xml version="1.0" encoding="utf-8"?>
<sst xmlns="http://schemas.openxmlformats.org/spreadsheetml/2006/main" count="26" uniqueCount="23">
  <si>
    <t>Folha Salarial</t>
  </si>
  <si>
    <t>Funcionário</t>
  </si>
  <si>
    <t>Salário</t>
  </si>
  <si>
    <t>Faltas</t>
  </si>
  <si>
    <t>INSS</t>
  </si>
  <si>
    <t>Salário Líquido</t>
  </si>
  <si>
    <t>Adolfo Moreno</t>
  </si>
  <si>
    <t>Anna Larissa</t>
  </si>
  <si>
    <t>Marcia Judith</t>
  </si>
  <si>
    <t>Marcos Rangel</t>
  </si>
  <si>
    <t>Maria Júlia</t>
  </si>
  <si>
    <t>Despesas</t>
  </si>
  <si>
    <t>Valor</t>
  </si>
  <si>
    <t>Água</t>
  </si>
  <si>
    <t>Luz</t>
  </si>
  <si>
    <t>Telefone</t>
  </si>
  <si>
    <t>Outros</t>
  </si>
  <si>
    <t>Total</t>
  </si>
  <si>
    <t>Saldo restante</t>
  </si>
  <si>
    <t>Rendimentos</t>
  </si>
  <si>
    <t>Ana Luiza</t>
  </si>
  <si>
    <t>Marcos Júlio</t>
  </si>
  <si>
    <t>Subtração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</si>
</sst>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#,##0.00_ ;[Red]\-#,##0.00\ 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5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/>
        <bgColor theme="8"/>
      </patternFill>
    </fill>
    <fill>
      <patternFill patternType="solid">
        <fgColor theme="8"/>
        <bgColor theme="8"/>
      </patternFill>
    </fill>
    <fill>
      <patternFill patternType="solid">
        <fgColor theme="8" tint="0.59999389629810485"/>
        <bgColor theme="8" tint="0.59999389629810485"/>
      </patternFill>
    </fill>
    <fill>
      <patternFill patternType="solid">
        <fgColor theme="8" tint="0.79998168889431442"/>
        <bgColor theme="8" tint="0.79998168889431442"/>
      </patternFill>
    </fill>
  </fills>
  <borders count="11">
    <border>
      <left/>
      <right/>
      <top/>
      <bottom/>
      <diagonal/>
    </border>
    <border>
      <left style="medium">
        <color theme="7" tint="-0.499984740745262"/>
      </left>
      <right style="medium">
        <color theme="7" tint="-0.499984740745262"/>
      </right>
      <top style="medium">
        <color theme="7" tint="-0.499984740745262"/>
      </top>
      <bottom style="thin">
        <color theme="7" tint="0.39997558519241921"/>
      </bottom>
      <diagonal/>
    </border>
    <border>
      <left style="medium">
        <color theme="7" tint="-0.499984740745262"/>
      </left>
      <right style="medium">
        <color theme="7" tint="-0.499984740745262"/>
      </right>
      <top style="thin">
        <color theme="7" tint="0.39997558519241921"/>
      </top>
      <bottom style="thin">
        <color theme="7" tint="0.39997558519241921"/>
      </bottom>
      <diagonal/>
    </border>
    <border>
      <left style="medium">
        <color theme="7" tint="-0.499984740745262"/>
      </left>
      <right style="medium">
        <color theme="7" tint="-0.499984740745262"/>
      </right>
      <top style="thin">
        <color theme="7" tint="0.39997558519241921"/>
      </top>
      <bottom style="medium">
        <color theme="7" tint="-0.499984740745262"/>
      </bottom>
      <diagonal/>
    </border>
    <border>
      <left style="thin">
        <color theme="0"/>
      </left>
      <right/>
      <top/>
      <bottom/>
      <diagonal/>
    </border>
    <border>
      <left/>
      <right/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1">
    <xf numFmtId="0" fontId="0" fillId="0" borderId="0" xfId="0"/>
    <xf numFmtId="0" fontId="5" fillId="0" borderId="0" xfId="0" applyFont="1"/>
    <xf numFmtId="44" fontId="0" fillId="0" borderId="0" xfId="1" applyFont="1"/>
    <xf numFmtId="44" fontId="0" fillId="3" borderId="1" xfId="1" applyFont="1" applyFill="1" applyBorder="1"/>
    <xf numFmtId="44" fontId="0" fillId="3" borderId="2" xfId="1" applyFont="1" applyFill="1" applyBorder="1"/>
    <xf numFmtId="44" fontId="0" fillId="3" borderId="3" xfId="1" applyFont="1" applyFill="1" applyBorder="1"/>
    <xf numFmtId="0" fontId="6" fillId="4" borderId="0" xfId="0" applyFont="1" applyFill="1" applyBorder="1" applyAlignment="1">
      <alignment horizontal="left" vertical="center"/>
    </xf>
    <xf numFmtId="0" fontId="6" fillId="4" borderId="4" xfId="0" applyFont="1" applyFill="1" applyBorder="1" applyAlignment="1">
      <alignment horizontal="left" vertical="center"/>
    </xf>
    <xf numFmtId="0" fontId="0" fillId="5" borderId="5" xfId="0" applyFont="1" applyFill="1" applyBorder="1"/>
    <xf numFmtId="164" fontId="0" fillId="5" borderId="6" xfId="0" applyNumberFormat="1" applyFont="1" applyFill="1" applyBorder="1"/>
    <xf numFmtId="0" fontId="0" fillId="6" borderId="7" xfId="0" applyFont="1" applyFill="1" applyBorder="1"/>
    <xf numFmtId="164" fontId="0" fillId="6" borderId="8" xfId="0" applyNumberFormat="1" applyFont="1" applyFill="1" applyBorder="1"/>
    <xf numFmtId="0" fontId="0" fillId="5" borderId="7" xfId="0" applyFont="1" applyFill="1" applyBorder="1"/>
    <xf numFmtId="164" fontId="0" fillId="5" borderId="8" xfId="0" applyNumberFormat="1" applyFont="1" applyFill="1" applyBorder="1"/>
    <xf numFmtId="0" fontId="2" fillId="4" borderId="5" xfId="0" applyFont="1" applyFill="1" applyBorder="1"/>
    <xf numFmtId="164" fontId="3" fillId="4" borderId="6" xfId="0" applyNumberFormat="1" applyFont="1" applyFill="1" applyBorder="1"/>
    <xf numFmtId="164" fontId="0" fillId="0" borderId="0" xfId="0" applyNumberFormat="1"/>
    <xf numFmtId="0" fontId="7" fillId="7" borderId="9" xfId="0" applyFont="1" applyFill="1" applyBorder="1"/>
    <xf numFmtId="0" fontId="6" fillId="8" borderId="0" xfId="0" applyFont="1" applyFill="1" applyBorder="1"/>
    <xf numFmtId="0" fontId="6" fillId="8" borderId="4" xfId="0" applyFont="1" applyFill="1" applyBorder="1"/>
    <xf numFmtId="164" fontId="5" fillId="9" borderId="10" xfId="0" applyNumberFormat="1" applyFont="1" applyFill="1" applyBorder="1"/>
    <xf numFmtId="0" fontId="5" fillId="9" borderId="5" xfId="0" applyFont="1" applyFill="1" applyBorder="1"/>
    <xf numFmtId="4" fontId="5" fillId="9" borderId="6" xfId="0" applyNumberFormat="1" applyFont="1" applyFill="1" applyBorder="1"/>
    <xf numFmtId="0" fontId="5" fillId="10" borderId="7" xfId="0" applyFont="1" applyFill="1" applyBorder="1"/>
    <xf numFmtId="4" fontId="5" fillId="10" borderId="8" xfId="0" applyNumberFormat="1" applyFont="1" applyFill="1" applyBorder="1"/>
    <xf numFmtId="0" fontId="5" fillId="9" borderId="7" xfId="0" applyFont="1" applyFill="1" applyBorder="1"/>
    <xf numFmtId="4" fontId="5" fillId="9" borderId="8" xfId="0" applyNumberFormat="1" applyFont="1" applyFill="1" applyBorder="1"/>
    <xf numFmtId="0" fontId="6" fillId="8" borderId="5" xfId="0" applyFont="1" applyFill="1" applyBorder="1"/>
    <xf numFmtId="4" fontId="6" fillId="8" borderId="6" xfId="0" applyNumberFormat="1" applyFont="1" applyFill="1" applyBorder="1"/>
    <xf numFmtId="0" fontId="8" fillId="0" borderId="0" xfId="0" applyFont="1"/>
    <xf numFmtId="0" fontId="4" fillId="2" borderId="0" xfId="0" applyFont="1" applyFill="1" applyAlignment="1">
      <alignment horizontal="left"/>
    </xf>
  </cellXfs>
  <cellStyles count="2">
    <cellStyle name="Moeda" xfId="1" builtinId="4"/>
    <cellStyle name="Normal" xfId="0" builtinId="0"/>
  </cellStyles>
  <dxfs count="3">
    <dxf>
      <numFmt numFmtId="34" formatCode="_-&quot;R$&quot;\ * #,##0.00_-;\-&quot;R$&quot;\ * #,##0.00_-;_-&quot;R$&quot;\ * &quot;-&quot;??_-;_-@_-"/>
      <fill>
        <patternFill patternType="solid">
          <fgColor indexed="64"/>
          <bgColor theme="7" tint="0.79998168889431442"/>
        </patternFill>
      </fill>
      <border diagonalUp="0" diagonalDown="0">
        <left style="medium">
          <color theme="7" tint="-0.499984740745262"/>
        </left>
        <right style="medium">
          <color theme="7" tint="-0.499984740745262"/>
        </right>
        <top style="thin">
          <color theme="7" tint="0.39997558519241921"/>
        </top>
        <bottom style="thin">
          <color theme="7" tint="0.39997558519241921"/>
        </bottom>
        <vertical/>
        <horizontal style="thin">
          <color theme="7" tint="0.39997558519241921"/>
        </horizontal>
      </border>
    </dxf>
    <dxf>
      <border outline="0">
        <right style="medium">
          <color theme="7"/>
        </right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15</xdr:row>
      <xdr:rowOff>95249</xdr:rowOff>
    </xdr:from>
    <xdr:to>
      <xdr:col>2</xdr:col>
      <xdr:colOff>800099</xdr:colOff>
      <xdr:row>22</xdr:row>
      <xdr:rowOff>104996</xdr:rowOff>
    </xdr:to>
    <xdr:sp macro="" textlink="">
      <xdr:nvSpPr>
        <xdr:cNvPr id="2" name="ChaveDeFórmulaPosterior">
          <a:extLst>
            <a:ext uri="{FF2B5EF4-FFF2-40B4-BE49-F238E27FC236}">
              <a16:creationId xmlns:a16="http://schemas.microsoft.com/office/drawing/2014/main" id="{3E2C35DB-43CF-4687-B99E-7D422E7D5BEA}"/>
            </a:ext>
          </a:extLst>
        </xdr:cNvPr>
        <xdr:cNvSpPr/>
      </xdr:nvSpPr>
      <xdr:spPr>
        <a:xfrm rot="10800000">
          <a:off x="7658100" y="3590924"/>
          <a:ext cx="771524" cy="1400397"/>
        </a:xfrm>
        <a:prstGeom prst="leftBrace">
          <a:avLst>
            <a:gd name="adj1" fmla="val 10293"/>
            <a:gd name="adj2" fmla="val 57193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rtl="0"/>
          <a:endParaRPr lang="en-US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10048199435/Downloads/Excel%20(atualizado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ste Treinamento"/>
      <sheetName val="CAP 01 - FORMATAÇÃO DE DADOS"/>
      <sheetName val="Área de Trabalho do Excel"/>
      <sheetName val="Deslocamento | Seleção | Mover"/>
      <sheetName val="Alça de Preenchimento"/>
      <sheetName val="Área de Transferência"/>
      <sheetName val="Fonte, Alinhamento e Número"/>
      <sheetName val="Grupo Células"/>
      <sheetName val="Grupo Edição"/>
      <sheetName val="Classificar e Filtrar Básico"/>
      <sheetName val="Preenchimento Relâmpago"/>
      <sheetName val="Desafio - CAP 01"/>
      <sheetName val="CAP 02 - TABELAS e SEGMENTAÇÕES"/>
      <sheetName val="Formatar como Tabela"/>
      <sheetName val="Segmentação de dados"/>
      <sheetName val="Enunciado Desafio - CAP 02"/>
      <sheetName val="Resolução do Desafio - CAP 02"/>
      <sheetName val="CAP 03 - CÁLCULOS NO EXCEL"/>
      <sheetName val="Noções básicas"/>
      <sheetName val="Adição"/>
      <sheetName val="Subtração"/>
      <sheetName val="Multiplicação"/>
      <sheetName val="Divisão"/>
      <sheetName val="Enunciado Desafio - CAP 03"/>
      <sheetName val="Resolução do Desafio - CAP  03"/>
      <sheetName val="CAP 04 - FUNÇÕES ESSENCIAIS"/>
      <sheetName val="Soma (Orçamento Doméstico)"/>
      <sheetName val="Soma (Custos de Escritório)"/>
      <sheetName val="Média Salarial"/>
      <sheetName val="Média Piso Salarial Nacional"/>
      <sheetName val="Média auxilio moradia 2017"/>
      <sheetName val="Máximo e Mínimo"/>
      <sheetName val="Cont.núm | Contar.vazio"/>
      <sheetName val="SomarProduto | Custo de Serviço"/>
      <sheetName val="SomarProduto | Itens"/>
      <sheetName val="Desafio Filiais"/>
      <sheetName val="Desafio Metas"/>
      <sheetName val="CAP 05 - TRATAMENTO DE NÚMEROS"/>
      <sheetName val="FUNÇÃO ARRED"/>
      <sheetName val="Descontos e Acréscimos Salário"/>
      <sheetName val="Parte Inteira (INT)"/>
      <sheetName val="Módulo ABS"/>
      <sheetName val="Desafio Capítulo Tratamento"/>
      <sheetName val="CAP 06 - CÁLCULOS DATA E HORA"/>
      <sheetName val="Entenda os cálculos data|hora"/>
      <sheetName val="Horas trabalhadas"/>
      <sheetName val="Reforma de Casa"/>
      <sheetName val="Cálculo de data"/>
      <sheetName val="Cálculo Hora"/>
      <sheetName val="Desafio Cálculos Data e Hora"/>
      <sheetName val="Desafio - Folha de Ponto"/>
      <sheetName val="CAP 07 - FUNÇÕES DATA E HORA"/>
      <sheetName val="Função Hoje"/>
      <sheetName val="Função Agora"/>
      <sheetName val="Hora | Minuto | Segundo"/>
      <sheetName val="Dia | Mês | Ano"/>
      <sheetName val="Função Data"/>
      <sheetName val="Desafio Mês"/>
      <sheetName val="Desafio Dia"/>
      <sheetName val="Desafio Ano"/>
      <sheetName val="Desafio Funções Data e Hora"/>
      <sheetName val="CAP 08 - FUNÇÕES TEXTO"/>
      <sheetName val="Funções de texto"/>
      <sheetName val="Arrumar"/>
      <sheetName val="Concatenar"/>
      <sheetName val="UnirTexto 1"/>
      <sheetName val="Unirtexto 2"/>
      <sheetName val="Desafio Final Funções Texto"/>
      <sheetName val="CAP 09 - Função SE"/>
      <sheetName val="Sinais na função Se"/>
      <sheetName val="Entendendo a Função Se"/>
      <sheetName val="Função Se Simples I"/>
      <sheetName val="Função Se Simples II"/>
      <sheetName val="Função Se - Desafio I"/>
      <sheetName val="Função Se Desafio II"/>
      <sheetName val="CAP 10 - GRÁFICOS"/>
      <sheetName val="Gráfico I"/>
      <sheetName val="Gráfico II"/>
      <sheetName val="Gráf. Vendas Região (Treemap)"/>
      <sheetName val="Gráf. Diagrama de Pareto"/>
      <sheetName val="Desafio Gráficos"/>
      <sheetName val="Painel Desafio Gráficos"/>
      <sheetName val="CAP 11 - CLASSIFICAÇÃO E FILTRO"/>
      <sheetName val="Classificação e Filtro"/>
      <sheetName val="Filtro na Segmentação de dados"/>
      <sheetName val="Filtro de dados por cor"/>
      <sheetName val="Classificação Personalizada"/>
      <sheetName val="CAP 12 - IMPRESSÃO"/>
      <sheetName val="Configuração de Página"/>
      <sheetName val="Quebras"/>
      <sheetName val="Imprimir Títulos"/>
      <sheetName val="Modos de Exibição"/>
      <sheetName val="Congelar Painéis"/>
      <sheetName val="Informações Important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14">
          <cell r="L14">
            <v>75</v>
          </cell>
        </row>
        <row r="15">
          <cell r="L15">
            <v>158</v>
          </cell>
        </row>
        <row r="16">
          <cell r="L16">
            <v>88</v>
          </cell>
        </row>
        <row r="17">
          <cell r="L17">
            <v>2487</v>
          </cell>
        </row>
        <row r="22">
          <cell r="L22">
            <v>2800</v>
          </cell>
        </row>
        <row r="23">
          <cell r="L23">
            <v>3400</v>
          </cell>
        </row>
        <row r="24">
          <cell r="L24">
            <v>800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83486D-51E3-4F98-851B-DE6318950999}" name="tbl_funcionários" displayName="tbl_funcionários" ref="A2:E7" totalsRowShown="0" headerRowDxfId="2">
  <autoFilter ref="A2:E7" xr:uid="{CFC4FA5A-A49B-4F0A-9C8A-1D42940CE550}"/>
  <sortState ref="A3:E7">
    <sortCondition ref="A5"/>
  </sortState>
  <tableColumns count="5">
    <tableColumn id="1" xr3:uid="{F0A4E23C-8AAA-4B38-B12F-AE7AFB8DFF41}" name="Funcionário"/>
    <tableColumn id="2" xr3:uid="{9E9C9BEC-4E50-460F-873D-A689D3155CBC}" name="Salário" dataCellStyle="Moeda"/>
    <tableColumn id="3" xr3:uid="{ED2F4FC2-345E-4BC5-B77C-9F8A914AB17C}" name="Faltas" dataCellStyle="Moeda"/>
    <tableColumn id="4" xr3:uid="{EFE921EE-FA61-4C52-BB34-C91283966E84}" name="INSS" dataDxfId="1" dataCellStyle="Moeda"/>
    <tableColumn id="5" xr3:uid="{A1200435-106A-4588-B1DD-491FA572CC2B}" name="Salário Líquido" dataDxfId="0" dataCellStyle="Moeda">
      <calculatedColumnFormula>tbl_funcionários[[#This Row],[Salário]]-tbl_funcionários[[#This Row],[Faltas]]-tbl_funcionários[[#This Row],[INSS]]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F1938-BE2E-40DF-93D1-2718E7F05B35}">
  <dimension ref="A1:F23"/>
  <sheetViews>
    <sheetView tabSelected="1" topLeftCell="A4" workbookViewId="0">
      <selection activeCell="J8" sqref="J8"/>
    </sheetView>
  </sheetViews>
  <sheetFormatPr defaultRowHeight="15" x14ac:dyDescent="0.25"/>
  <cols>
    <col min="1" max="1" width="14.5703125" bestFit="1" customWidth="1"/>
    <col min="2" max="2" width="12.140625" bestFit="1" customWidth="1"/>
    <col min="3" max="3" width="10.5703125" bestFit="1" customWidth="1"/>
    <col min="4" max="4" width="16.7109375" customWidth="1"/>
    <col min="5" max="5" width="16.42578125" bestFit="1" customWidth="1"/>
  </cols>
  <sheetData>
    <row r="1" spans="1:6" ht="21" x14ac:dyDescent="0.35">
      <c r="A1" s="30" t="s">
        <v>0</v>
      </c>
      <c r="B1" s="30"/>
      <c r="C1" s="30"/>
      <c r="D1" s="30"/>
      <c r="E1" s="30"/>
    </row>
    <row r="2" spans="1:6" ht="15.75" thickBo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6" x14ac:dyDescent="0.25">
      <c r="A3" t="s">
        <v>6</v>
      </c>
      <c r="B3" s="2">
        <v>1480</v>
      </c>
      <c r="C3" s="2">
        <v>143.25</v>
      </c>
      <c r="D3" s="2">
        <v>118.4</v>
      </c>
      <c r="E3" s="3">
        <f>tbl_funcionários[[#This Row],[Salário]]-tbl_funcionários[[#This Row],[Faltas]]-tbl_funcionários[[#This Row],[INSS]]</f>
        <v>1218.3499999999999</v>
      </c>
    </row>
    <row r="4" spans="1:6" x14ac:dyDescent="0.25">
      <c r="A4" t="s">
        <v>7</v>
      </c>
      <c r="B4" s="2">
        <v>1480</v>
      </c>
      <c r="C4" s="2">
        <v>75.349999999999994</v>
      </c>
      <c r="D4" s="2">
        <v>118.4</v>
      </c>
      <c r="E4" s="4">
        <f>tbl_funcionários[[#This Row],[Salário]]-tbl_funcionários[[#This Row],[Faltas]]-tbl_funcionários[[#This Row],[INSS]]</f>
        <v>1286.25</v>
      </c>
    </row>
    <row r="5" spans="1:6" x14ac:dyDescent="0.25">
      <c r="A5" t="s">
        <v>8</v>
      </c>
      <c r="B5" s="2">
        <v>1930</v>
      </c>
      <c r="C5" s="2">
        <v>0</v>
      </c>
      <c r="D5" s="2">
        <v>173.7</v>
      </c>
      <c r="E5" s="4">
        <f>tbl_funcionários[[#This Row],[Salário]]-tbl_funcionários[[#This Row],[Faltas]]-tbl_funcionários[[#This Row],[INSS]]</f>
        <v>1756.3</v>
      </c>
    </row>
    <row r="6" spans="1:6" x14ac:dyDescent="0.25">
      <c r="A6" t="s">
        <v>9</v>
      </c>
      <c r="B6" s="2">
        <v>3800</v>
      </c>
      <c r="C6" s="2">
        <v>0</v>
      </c>
      <c r="D6" s="2">
        <v>418</v>
      </c>
      <c r="E6" s="4">
        <f>tbl_funcionários[[#This Row],[Salário]]-tbl_funcionários[[#This Row],[Faltas]]-tbl_funcionários[[#This Row],[INSS]]</f>
        <v>3382</v>
      </c>
    </row>
    <row r="7" spans="1:6" ht="15.75" thickBot="1" x14ac:dyDescent="0.3">
      <c r="A7" t="s">
        <v>10</v>
      </c>
      <c r="B7" s="2">
        <v>2625</v>
      </c>
      <c r="C7" s="2">
        <v>0</v>
      </c>
      <c r="D7" s="2">
        <v>236.25</v>
      </c>
      <c r="E7" s="5">
        <f>tbl_funcionários[[#This Row],[Salário]]-tbl_funcionários[[#This Row],[Faltas]]-tbl_funcionários[[#This Row],[INSS]]</f>
        <v>2388.75</v>
      </c>
    </row>
    <row r="11" spans="1:6" ht="19.5" thickBot="1" x14ac:dyDescent="0.35">
      <c r="A11" s="6" t="s">
        <v>11</v>
      </c>
      <c r="B11" s="7" t="s">
        <v>12</v>
      </c>
      <c r="F11" s="29" t="s">
        <v>22</v>
      </c>
    </row>
    <row r="12" spans="1:6" ht="15.75" thickTop="1" x14ac:dyDescent="0.25">
      <c r="A12" s="8" t="s">
        <v>13</v>
      </c>
      <c r="B12" s="9">
        <v>75</v>
      </c>
    </row>
    <row r="13" spans="1:6" x14ac:dyDescent="0.25">
      <c r="A13" s="10" t="s">
        <v>14</v>
      </c>
      <c r="B13" s="11">
        <v>158</v>
      </c>
    </row>
    <row r="14" spans="1:6" x14ac:dyDescent="0.25">
      <c r="A14" s="12" t="s">
        <v>15</v>
      </c>
      <c r="B14" s="13">
        <v>88</v>
      </c>
    </row>
    <row r="15" spans="1:6" ht="15.75" thickBot="1" x14ac:dyDescent="0.3">
      <c r="A15" s="10" t="s">
        <v>16</v>
      </c>
      <c r="B15" s="11">
        <v>2487</v>
      </c>
    </row>
    <row r="16" spans="1:6" ht="15.75" thickTop="1" x14ac:dyDescent="0.25">
      <c r="A16" s="14" t="s">
        <v>17</v>
      </c>
      <c r="B16" s="15">
        <f>SUBTOTAL(109,[1]Subtração!$L$14:$L$17)</f>
        <v>2808</v>
      </c>
    </row>
    <row r="17" spans="1:4" x14ac:dyDescent="0.25">
      <c r="B17" s="16"/>
    </row>
    <row r="18" spans="1:4" ht="15.75" thickBot="1" x14ac:dyDescent="0.3">
      <c r="D18" s="17" t="s">
        <v>18</v>
      </c>
    </row>
    <row r="19" spans="1:4" ht="16.5" thickTop="1" thickBot="1" x14ac:dyDescent="0.3">
      <c r="A19" s="18" t="s">
        <v>19</v>
      </c>
      <c r="B19" s="19" t="s">
        <v>12</v>
      </c>
      <c r="D19" s="20">
        <f>B16-B23</f>
        <v>-4192</v>
      </c>
    </row>
    <row r="20" spans="1:4" ht="15.75" thickTop="1" x14ac:dyDescent="0.25">
      <c r="A20" s="21" t="s">
        <v>20</v>
      </c>
      <c r="B20" s="22">
        <v>2800</v>
      </c>
    </row>
    <row r="21" spans="1:4" x14ac:dyDescent="0.25">
      <c r="A21" s="23" t="s">
        <v>21</v>
      </c>
      <c r="B21" s="24">
        <v>3400</v>
      </c>
    </row>
    <row r="22" spans="1:4" ht="15.75" thickBot="1" x14ac:dyDescent="0.3">
      <c r="A22" s="25" t="s">
        <v>16</v>
      </c>
      <c r="B22" s="26">
        <v>800</v>
      </c>
    </row>
    <row r="23" spans="1:4" ht="15.75" thickTop="1" x14ac:dyDescent="0.25">
      <c r="A23" s="27" t="s">
        <v>17</v>
      </c>
      <c r="B23" s="28">
        <f>SUBTOTAL(109,[1]Subtração!$L$22:$L$24)</f>
        <v>7000</v>
      </c>
    </row>
  </sheetData>
  <mergeCells count="1">
    <mergeCell ref="A1:E1"/>
  </mergeCell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Lucas Silva da Luz</dc:creator>
  <cp:lastModifiedBy>RICARDO LEITE DA SILVA ROCHA</cp:lastModifiedBy>
  <dcterms:created xsi:type="dcterms:W3CDTF">2025-11-04T22:47:25Z</dcterms:created>
  <dcterms:modified xsi:type="dcterms:W3CDTF">2025-11-05T00:17:54Z</dcterms:modified>
</cp:coreProperties>
</file>