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13_ncr:1_{78579651-7476-4446-8DDC-279BD82998F7}" xr6:coauthVersionLast="36" xr6:coauthVersionMax="47" xr10:uidLastSave="{00000000-0000-0000-0000-000000000000}"/>
  <bookViews>
    <workbookView xWindow="0" yWindow="0" windowWidth="20490" windowHeight="7545" xr2:uid="{CDEDAF49-C017-46BD-8009-F3BF935B79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K4" i="1"/>
  <c r="K12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K9" i="1" l="1"/>
  <c r="K8" i="1"/>
  <c r="K5" i="1"/>
  <c r="K11" i="1"/>
  <c r="K7" i="1"/>
  <c r="K3" i="1"/>
  <c r="K10" i="1"/>
  <c r="K6" i="1"/>
  <c r="K13" i="1" l="1"/>
</calcChain>
</file>

<file path=xl/sharedStrings.xml><?xml version="1.0" encoding="utf-8"?>
<sst xmlns="http://schemas.openxmlformats.org/spreadsheetml/2006/main" count="36" uniqueCount="24">
  <si>
    <t>TOP 10 FUNCIONÁRIOS 2024</t>
  </si>
  <si>
    <t>TOP 10 FUNCIONÁRIOS 2025</t>
  </si>
  <si>
    <t>Colaborador</t>
  </si>
  <si>
    <t>Total Geral</t>
  </si>
  <si>
    <t>1º Trim.</t>
  </si>
  <si>
    <t>2º Trim.</t>
  </si>
  <si>
    <t>3º Trim.</t>
  </si>
  <si>
    <t>4º Trim.</t>
  </si>
  <si>
    <t>Total Geral ( + )</t>
  </si>
  <si>
    <t>% Obtida ( / )</t>
  </si>
  <si>
    <t>Evolução ( - )</t>
  </si>
  <si>
    <t>Meta Individual</t>
  </si>
  <si>
    <t>Eduarda Midori</t>
  </si>
  <si>
    <t>Analice Xavier</t>
  </si>
  <si>
    <t>Maria Oliveira</t>
  </si>
  <si>
    <t>Meta Geral</t>
  </si>
  <si>
    <t>Gislaine Carlos</t>
  </si>
  <si>
    <t>Eduardo Silva</t>
  </si>
  <si>
    <t>José Miguel</t>
  </si>
  <si>
    <t>Willians Cunha</t>
  </si>
  <si>
    <t>Elaine Cristina</t>
  </si>
  <si>
    <t>Margarida Liberatto</t>
  </si>
  <si>
    <t>Facundo Telles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</si>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</sst>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4" fontId="4" fillId="0" borderId="0" xfId="0" applyNumberFormat="1" applyFont="1"/>
    <xf numFmtId="4" fontId="0" fillId="0" borderId="0" xfId="0" applyNumberFormat="1"/>
    <xf numFmtId="10" fontId="0" fillId="0" borderId="0" xfId="0" applyNumberFormat="1"/>
    <xf numFmtId="43" fontId="0" fillId="0" borderId="0" xfId="1" applyFont="1" applyBorder="1"/>
    <xf numFmtId="43" fontId="0" fillId="0" borderId="0" xfId="2" applyNumberFormat="1" applyFont="1" applyFill="1" applyBorder="1"/>
    <xf numFmtId="14" fontId="0" fillId="0" borderId="0" xfId="0" applyNumberFormat="1"/>
    <xf numFmtId="0" fontId="3" fillId="0" borderId="0" xfId="0" applyFont="1" applyBorder="1"/>
    <xf numFmtId="0" fontId="4" fillId="0" borderId="0" xfId="0" applyFont="1" applyBorder="1"/>
    <xf numFmtId="4" fontId="4" fillId="0" borderId="0" xfId="0" applyNumberFormat="1" applyFont="1" applyBorder="1"/>
    <xf numFmtId="4" fontId="0" fillId="0" borderId="0" xfId="0" applyNumberFormat="1" applyBorder="1"/>
    <xf numFmtId="4" fontId="4" fillId="0" borderId="0" xfId="0" applyNumberFormat="1" applyFont="1" applyBorder="1" applyAlignment="1">
      <alignment vertical="center" wrapText="1"/>
    </xf>
    <xf numFmtId="0" fontId="2" fillId="0" borderId="0" xfId="0" applyFont="1" applyBorder="1"/>
    <xf numFmtId="0" fontId="5" fillId="2" borderId="0" xfId="0" applyFont="1" applyFill="1" applyAlignment="1">
      <alignment horizontal="left" vertical="center"/>
    </xf>
    <xf numFmtId="9" fontId="0" fillId="0" borderId="0" xfId="2" applyFont="1" applyBorder="1"/>
    <xf numFmtId="0" fontId="5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NumberFormat="1" applyFont="1"/>
  </cellXfs>
  <cellStyles count="3">
    <cellStyle name="Normal" xfId="0" builtinId="0"/>
    <cellStyle name="Porcentagem" xfId="2" builtinId="5"/>
    <cellStyle name="Vírgula" xfId="1" builtinId="3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13</xdr:row>
      <xdr:rowOff>57152</xdr:rowOff>
    </xdr:from>
    <xdr:to>
      <xdr:col>12</xdr:col>
      <xdr:colOff>30481</xdr:colOff>
      <xdr:row>32</xdr:row>
      <xdr:rowOff>60960</xdr:rowOff>
    </xdr:to>
    <xdr:sp macro="" textlink="">
      <xdr:nvSpPr>
        <xdr:cNvPr id="2" name="Etapa" descr="Agora, adicione apenas os números acima de 50. Selecione a última célula amarela. Digite =SOMASE(D11:D15;&quot;&gt;50&quot;) e pressione Enter. O resultado é 100">
          <a:extLst>
            <a:ext uri="{FF2B5EF4-FFF2-40B4-BE49-F238E27FC236}">
              <a16:creationId xmlns:a16="http://schemas.microsoft.com/office/drawing/2014/main" id="{EA2735C3-ACFF-47C7-807C-FAE81E11D3D7}"/>
            </a:ext>
          </a:extLst>
        </xdr:cNvPr>
        <xdr:cNvSpPr txBox="1"/>
      </xdr:nvSpPr>
      <xdr:spPr>
        <a:xfrm>
          <a:off x="76201" y="2472692"/>
          <a:ext cx="10507980" cy="347852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l" rtl="0">
            <a:defRPr/>
          </a:pPr>
          <a:r>
            <a:rPr lang="pt-BR" sz="1100" b="1" i="0" kern="120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Modo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 de Preparo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 (Como fazer)</a:t>
          </a:r>
        </a:p>
        <a:p>
          <a:pPr marL="0" lvl="0" indent="0" algn="l" defTabSz="914400" rtl="0" eaLnBrk="1" latinLnBrk="0" hangingPunct="1">
            <a:defRPr/>
          </a:pPr>
          <a:endParaRPr lang="pt-BR" sz="1100" b="0" i="0" kern="1200" baseline="0">
            <a:solidFill>
              <a:schemeClr val="dk1"/>
            </a:solidFill>
            <a:effectLst/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  <a:p>
          <a:pPr marL="0" lvl="0" indent="0" algn="l" defTabSz="914400" rtl="0" eaLnBrk="1" latinLnBrk="0" hangingPunct="1">
            <a:defRPr/>
          </a:pP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Momento de colocar em prática tudo o que você aprendeu.</a:t>
          </a:r>
        </a:p>
        <a:p>
          <a:pPr marL="0" lvl="0" indent="0" algn="l" defTabSz="914400" rtl="0" eaLnBrk="1" latinLnBrk="0" hangingPunct="1">
            <a:defRPr/>
          </a:pPr>
          <a:endParaRPr lang="pt-BR" sz="300" b="0" i="0" kern="1200" baseline="0">
            <a:solidFill>
              <a:schemeClr val="dk1"/>
            </a:solidFill>
            <a:effectLst/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  <a:p>
          <a:pPr marL="0" lvl="0" indent="0" algn="l" defTabSz="914400" rtl="0" eaLnBrk="1" latinLnBrk="0" hangingPunct="1">
            <a:defRPr/>
          </a:pPr>
          <a:endParaRPr lang="pt-BR" sz="300" b="0" i="0" kern="1200" baseline="0">
            <a:solidFill>
              <a:schemeClr val="dk1"/>
            </a:solidFill>
            <a:effectLst/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  <a:p>
          <a:pPr marL="0" lvl="0" indent="0" algn="l" defTabSz="914400" rtl="0" eaLnBrk="1" latinLnBrk="0" hangingPunct="1">
            <a:defRPr/>
          </a:pP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As dicas a seguir contém informações necessárias para executar a conclusão desse exercício com extrema maestria.</a:t>
          </a:r>
        </a:p>
        <a:p>
          <a:pPr marL="0" lvl="0" indent="0" algn="l" defTabSz="914400" rtl="0" eaLnBrk="1" latinLnBrk="0" hangingPunct="1">
            <a:defRPr/>
          </a:pPr>
          <a:endParaRPr lang="pt-BR" sz="300" b="0" i="0" kern="1200" baseline="0">
            <a:solidFill>
              <a:schemeClr val="dk1"/>
            </a:solidFill>
            <a:effectLst/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  <a:p>
          <a:pPr marL="0" lvl="0" indent="0" algn="l" defTabSz="914400" rtl="0" eaLnBrk="1" latinLnBrk="0" hangingPunct="1">
            <a:defRPr/>
          </a:pP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Em momento algum, é necessário que você faça exatamente como o Professor exige, por isso, é importante "Usar e Abusar da sua Criatividade".</a:t>
          </a:r>
        </a:p>
        <a:p>
          <a:pPr marL="0" lvl="0" indent="0" algn="l" defTabSz="914400" rtl="0" eaLnBrk="1" latinLnBrk="0" hangingPunct="1">
            <a:defRPr/>
          </a:pPr>
          <a:endParaRPr lang="pt-BR" sz="1100" b="0" i="0" kern="1200" baseline="0">
            <a:solidFill>
              <a:schemeClr val="dk1"/>
            </a:solidFill>
            <a:effectLst/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  <a:p>
          <a:pPr marL="0" lvl="0" indent="0" algn="l" defTabSz="914400" rtl="0" eaLnBrk="1" latinLnBrk="0" hangingPunct="1">
            <a:defRPr/>
          </a:pP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Vamos lá?</a:t>
          </a:r>
          <a:endParaRPr lang="pt-BR" sz="1800" b="0" i="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lvl="0" indent="0" algn="l" defTabSz="914400" rtl="0" eaLnBrk="1" latinLnBrk="0" hangingPunct="1">
            <a:defRPr/>
          </a:pPr>
          <a:endParaRPr lang="pt-BR" sz="1100" b="0" i="0" kern="1200">
            <a:solidFill>
              <a:schemeClr val="dk1"/>
            </a:solidFill>
            <a:effectLst/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  <a:p>
          <a:pPr marL="0" lvl="0" indent="0" algn="l" defTabSz="914400" rtl="0" eaLnBrk="1" latinLnBrk="0" hangingPunct="1">
            <a:defRPr/>
          </a:pPr>
          <a:r>
            <a:rPr lang="pt-BR" sz="1100" b="0" i="0" kern="120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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 É necessário transformar os dados desse exercício em tabela;</a:t>
          </a:r>
        </a:p>
        <a:p>
          <a:pPr marL="0" lvl="0" indent="0" algn="l" defTabSz="914400" rtl="0" eaLnBrk="1" latinLnBrk="0" hangingPunct="1">
            <a:defRPr/>
          </a:pPr>
          <a:r>
            <a:rPr lang="pt-BR" sz="1100" b="0" i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</a:t>
          </a:r>
          <a:r>
            <a:rPr lang="pt-BR" sz="1100" b="0" i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Atenção! Este exercício deverá ser composto por 4 tabelas. Portanto, transforme em tabela as 4 áreas destacadas em vermelho acima, após esse processo retire as bordas vermelhas das tabelas.</a:t>
          </a:r>
        </a:p>
        <a:p>
          <a:pPr lvl="0" algn="l" rtl="0">
            <a:defRPr/>
          </a:pP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 Nomeie a(s) tabela(s), desative os botões de filtro e acrescente a linha de totais nas tabelas de 2024 e 2025;</a:t>
          </a:r>
        </a:p>
        <a:p>
          <a:pPr lvl="0" algn="l" rtl="0">
            <a:defRPr/>
          </a:pPr>
          <a:r>
            <a:rPr lang="pt-BR" sz="1100" b="0" i="0" kern="120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</a:t>
          </a:r>
          <a:r>
            <a:rPr lang="pt-BR" sz="1100" b="0" i="0" kern="120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 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Para a tabela de 2025 precisamos 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somar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 o 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Total Geral 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de cada 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Colaborador</a:t>
          </a:r>
        </a:p>
        <a:p>
          <a:pPr lvl="0" algn="l" rtl="0">
            <a:defRPr/>
          </a:pPr>
          <a:r>
            <a:rPr lang="pt-BR" sz="1100" b="0" i="0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  <a:sym typeface="Wingdings" panose="05000000000000000000" pitchFamily="2" charset="2"/>
            </a:rPr>
            <a:t> </a:t>
          </a:r>
          <a:r>
            <a:rPr lang="pt-BR" sz="1100" b="0" i="0" kern="120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Percentualmente falando,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 no campo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 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% obtida 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da tabela de 20 de cada 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Colaborador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 será necessário demonstrar o quanto cada um se aproximou da 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Meta Individual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 determinada pela empresa. Faça isso usando o 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Total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 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Geral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 como dividendo e a 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meta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 como divisor.</a:t>
          </a:r>
        </a:p>
        <a:p>
          <a:pPr lvl="0" algn="l" rtl="0">
            <a:defRPr/>
          </a:pPr>
          <a:r>
            <a:rPr lang="pt-BR" sz="1100" b="0" i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 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Na coluna 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Evolução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, será necessário fazer um comparativo </a:t>
          </a:r>
          <a:r>
            <a:rPr lang="pt-BR" sz="1100" b="1" i="0" u="sng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anual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  <a:sym typeface="Wingdings" panose="05000000000000000000" pitchFamily="2" charset="2"/>
            </a:rPr>
            <a:t> dos anos de 2024 e 2025 de cada colaborador;</a:t>
          </a:r>
        </a:p>
        <a:p>
          <a:pPr lvl="0" algn="l" rtl="0">
            <a:defRPr/>
          </a:pPr>
          <a:r>
            <a:rPr lang="pt-BR" sz="1100" b="0" i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</a:t>
          </a:r>
          <a:r>
            <a:rPr lang="pt-BR" sz="1100" b="0" i="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As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 </a:t>
          </a:r>
          <a:r>
            <a:rPr lang="pt-BR" sz="1100" b="1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frases TOP 10 funcionários 2024 e TOP 10 funcionários 2025 </a:t>
          </a:r>
          <a:r>
            <a:rPr lang="pt-BR" sz="1100" b="0" i="0" kern="1200" baseline="0">
              <a:solidFill>
                <a:schemeClr val="dk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devem ser mesclados de forma individual e formatadas de acordo com o que você achar necessário.</a:t>
          </a:r>
          <a:endParaRPr lang="pt-BR" sz="1100" b="0" i="0" kern="1200" baseline="0">
            <a:solidFill>
              <a:schemeClr val="dk1"/>
            </a:solidFill>
            <a:effectLst/>
            <a:latin typeface="Segoe UI Light" panose="020B0502040204020203" pitchFamily="34" charset="0"/>
            <a:ea typeface="+mn-ea"/>
            <a:cs typeface="Segoe UI Light" panose="020B0502040204020203" pitchFamily="34" charset="0"/>
            <a:sym typeface="Wingdings" panose="05000000000000000000" pitchFamily="2" charset="2"/>
          </a:endParaRPr>
        </a:p>
        <a:p>
          <a:pPr lvl="0" algn="l" rtl="0">
            <a:defRPr/>
          </a:pPr>
          <a:endParaRPr lang="pt-BR" sz="1100" b="0" i="0" kern="1200" baseline="0">
            <a:solidFill>
              <a:schemeClr val="dk1"/>
            </a:solidFill>
            <a:effectLst/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  <a:p>
          <a:pPr lvl="0" algn="l" rtl="0">
            <a:defRPr/>
          </a:pPr>
          <a:endParaRPr lang="pt-BR" sz="1100" b="0" i="0" kern="1200" baseline="0">
            <a:solidFill>
              <a:schemeClr val="dk1"/>
            </a:solidFill>
            <a:effectLst/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DDC874-3A10-4F78-9277-B04D65D64692}" name="Tabela1" displayName="Tabela1" ref="A2:B13" totalsRowCount="1" headerRowDxfId="10">
  <autoFilter ref="A2:B12" xr:uid="{6D383763-3A47-42C7-9C54-900E24C59913}">
    <filterColumn colId="0" hiddenButton="1"/>
    <filterColumn colId="1" hiddenButton="1"/>
  </autoFilter>
  <tableColumns count="2">
    <tableColumn id="1" xr3:uid="{BF72A353-E1D2-40C4-A007-483000B2CFF4}" name="Colaborador" totalsRowLabel="Total" dataDxfId="9" totalsRowDxfId="1"/>
    <tableColumn id="2" xr3:uid="{56EA8CC2-E1A3-4F59-BA39-1D5D30C214A4}" name="Total Geral" totalsRowFunction="sum" dataDxfId="8" totalsRow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C2A050-4AD3-4665-B9B7-75A52F34522D}" name="Tabela2" displayName="Tabela2" ref="D2:K13" totalsRowCount="1" headerRowDxfId="19">
  <autoFilter ref="D2:K12" xr:uid="{8DBD94B7-FD9F-473C-9220-47E61C4EDA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316698E-62BE-486F-94B0-BF758632B160}" name="Colaborador" totalsRowLabel="Total" dataDxfId="24" totalsRowDxfId="7"/>
    <tableColumn id="2" xr3:uid="{878E60DE-9284-48F3-A9AD-0899B6B14FB9}" name="1º Trim." dataDxfId="23" totalsRowDxfId="6"/>
    <tableColumn id="3" xr3:uid="{80F37862-7A90-42FD-AAC0-C6D8A249B6F7}" name="2º Trim." dataDxfId="22" totalsRowDxfId="5"/>
    <tableColumn id="4" xr3:uid="{4F7C55B2-C529-4DC8-8DFE-9C49B359DFC6}" name="3º Trim." dataDxfId="21" totalsRowDxfId="4"/>
    <tableColumn id="5" xr3:uid="{75E5B6E7-0529-444B-ACB0-EAB2A42C03FE}" name="4º Trim." dataDxfId="20" totalsRowDxfId="3"/>
    <tableColumn id="6" xr3:uid="{13EB26EE-67DD-4963-A506-1728F1EEB107}" name="Total Geral ( + )" dataDxfId="18">
      <calculatedColumnFormula>SUM(E3:H3)</calculatedColumnFormula>
    </tableColumn>
    <tableColumn id="7" xr3:uid="{DF4A7194-07C5-432A-9210-C28CB7751E48}" name="% Obtida ( / )" dataDxfId="11" totalsRowDxfId="2" dataCellStyle="Porcentagem" totalsRowCellStyle="Porcentagem">
      <calculatedColumnFormula>Tabela2[[#This Row],[Total Geral ( + )]]/Tabela3[Meta Individual]</calculatedColumnFormula>
    </tableColumn>
    <tableColumn id="8" xr3:uid="{67B5B1EC-7275-48FB-840E-C8F3C0856D15}" name="Evolução ( - )" totalsRowFunction="sum" dataDxfId="12">
      <calculatedColumnFormula>Tabela2[[#This Row],[Total Geral ( + )]]-Tabela1[[#This Row],[Total Geral]]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422EFC-96D1-4F44-ADF4-8AA92B509E74}" name="Tabela3" displayName="Tabela3" ref="N2:N3" totalsRowShown="0" headerRowDxfId="16">
  <autoFilter ref="N2:N3" xr:uid="{694D0B3A-4C0F-48D1-97E2-456C96F46E64}"/>
  <tableColumns count="1">
    <tableColumn id="1" xr3:uid="{4A750CB7-DC6A-4145-A3EE-3760DB2DA084}" name="Meta Individual" dataDxfId="1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AD15C0-2BBA-4CCE-BF0B-16D11B59F4C8}" name="Tabela4" displayName="Tabela4" ref="N5:N6" totalsRowShown="0" headerRowDxfId="13" dataDxfId="14" dataCellStyle="Vírgula">
  <autoFilter ref="N5:N6" xr:uid="{7841B2A0-4D20-4C7C-A8CD-11C5C5BC2B2D}"/>
  <tableColumns count="1">
    <tableColumn id="1" xr3:uid="{8CABEBB1-02D6-4174-A8CD-5DE7F342DA38}" name="Meta Geral" dataDxfId="15" dataCellStyle="Vírgul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894F-AA2F-4FEE-BB9A-E4FDAEC8F601}">
  <dimension ref="A1:N16"/>
  <sheetViews>
    <sheetView tabSelected="1" topLeftCell="A16" zoomScale="115" zoomScaleNormal="115" workbookViewId="0">
      <selection activeCell="K3" sqref="K3"/>
    </sheetView>
  </sheetViews>
  <sheetFormatPr defaultColWidth="9.140625" defaultRowHeight="15" x14ac:dyDescent="0.25"/>
  <cols>
    <col min="1" max="1" width="18.5703125" bestFit="1" customWidth="1"/>
    <col min="2" max="2" width="17" customWidth="1"/>
    <col min="3" max="3" width="5" customWidth="1"/>
    <col min="4" max="4" width="19.28515625" customWidth="1"/>
    <col min="5" max="5" width="13.85546875" customWidth="1"/>
    <col min="6" max="6" width="11.5703125" customWidth="1"/>
    <col min="7" max="8" width="11.85546875" customWidth="1"/>
    <col min="9" max="9" width="16.5703125" customWidth="1"/>
    <col min="10" max="10" width="14.7109375" customWidth="1"/>
    <col min="11" max="11" width="14.42578125" customWidth="1"/>
    <col min="12" max="12" width="3.5703125" customWidth="1"/>
    <col min="13" max="13" width="3.42578125" customWidth="1"/>
    <col min="14" max="14" width="17.42578125" bestFit="1" customWidth="1"/>
  </cols>
  <sheetData>
    <row r="1" spans="1:14" x14ac:dyDescent="0.25">
      <c r="A1" s="13" t="s">
        <v>0</v>
      </c>
      <c r="B1" s="13"/>
      <c r="D1" s="15" t="s">
        <v>1</v>
      </c>
      <c r="E1" s="15"/>
      <c r="F1" s="15"/>
      <c r="G1" s="15"/>
      <c r="H1" s="15"/>
      <c r="I1" s="15"/>
      <c r="J1" s="15"/>
      <c r="K1" s="15"/>
    </row>
    <row r="2" spans="1:14" x14ac:dyDescent="0.25">
      <c r="A2" s="7" t="s">
        <v>2</v>
      </c>
      <c r="B2" s="7" t="s">
        <v>3</v>
      </c>
      <c r="D2" s="7" t="s">
        <v>2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N2" s="12" t="s">
        <v>11</v>
      </c>
    </row>
    <row r="3" spans="1:14" x14ac:dyDescent="0.25">
      <c r="A3" s="8" t="s">
        <v>12</v>
      </c>
      <c r="B3" s="9">
        <v>966781</v>
      </c>
      <c r="D3" s="8" t="s">
        <v>12</v>
      </c>
      <c r="E3" s="9">
        <v>317005</v>
      </c>
      <c r="F3" s="9">
        <v>149227</v>
      </c>
      <c r="G3" s="9">
        <v>358871</v>
      </c>
      <c r="H3" s="9">
        <v>251186</v>
      </c>
      <c r="I3" s="10">
        <f t="shared" ref="I3:I12" si="0">SUM(E3:H3)</f>
        <v>1076289</v>
      </c>
      <c r="J3" s="14">
        <f>Tabela2[[#This Row],[Total Geral ( + )]]/Tabela3[Meta Individual]</f>
        <v>0.65229636363636367</v>
      </c>
      <c r="K3" s="10">
        <f>Tabela2[[#This Row],[Total Geral ( + )]]-Tabela1[[#This Row],[Total Geral]]</f>
        <v>109508</v>
      </c>
      <c r="L3" s="3"/>
      <c r="N3" s="10">
        <v>1650000</v>
      </c>
    </row>
    <row r="4" spans="1:14" x14ac:dyDescent="0.25">
      <c r="A4" s="8" t="s">
        <v>13</v>
      </c>
      <c r="B4" s="9">
        <v>1568137</v>
      </c>
      <c r="D4" s="8" t="s">
        <v>13</v>
      </c>
      <c r="E4" s="9">
        <v>509765</v>
      </c>
      <c r="F4" s="9">
        <v>208364</v>
      </c>
      <c r="G4" s="9">
        <v>104977</v>
      </c>
      <c r="H4" s="9">
        <v>155576</v>
      </c>
      <c r="I4" s="10">
        <f t="shared" si="0"/>
        <v>978682</v>
      </c>
      <c r="J4" s="14">
        <f>Tabela2[[#This Row],[Total Geral ( + )]]/Tabela3[Meta Individual]</f>
        <v>0.59314060606060603</v>
      </c>
      <c r="K4" s="10">
        <f>Tabela2[[#This Row],[Total Geral ( + )]]-Tabela1[[#This Row],[Total Geral]]</f>
        <v>-589455</v>
      </c>
    </row>
    <row r="5" spans="1:14" x14ac:dyDescent="0.25">
      <c r="A5" s="8" t="s">
        <v>14</v>
      </c>
      <c r="B5" s="9">
        <v>1215720</v>
      </c>
      <c r="D5" s="8" t="s">
        <v>14</v>
      </c>
      <c r="E5" s="9">
        <v>407156</v>
      </c>
      <c r="F5" s="9">
        <v>164967</v>
      </c>
      <c r="G5" s="9">
        <v>250177</v>
      </c>
      <c r="H5" s="9">
        <v>296350</v>
      </c>
      <c r="I5" s="10">
        <f t="shared" si="0"/>
        <v>1118650</v>
      </c>
      <c r="J5" s="14">
        <f>Tabela2[[#This Row],[Total Geral ( + )]]/Tabela3[Meta Individual]</f>
        <v>0.677969696969697</v>
      </c>
      <c r="K5" s="10">
        <f>Tabela2[[#This Row],[Total Geral ( + )]]-Tabela1[[#This Row],[Total Geral]]</f>
        <v>-97070</v>
      </c>
      <c r="N5" s="12" t="s">
        <v>15</v>
      </c>
    </row>
    <row r="6" spans="1:14" x14ac:dyDescent="0.25">
      <c r="A6" s="8" t="s">
        <v>16</v>
      </c>
      <c r="B6" s="9">
        <v>802371</v>
      </c>
      <c r="D6" s="8" t="s">
        <v>16</v>
      </c>
      <c r="E6" s="9">
        <v>339304</v>
      </c>
      <c r="F6" s="11">
        <v>265046</v>
      </c>
      <c r="G6" s="9">
        <v>207275</v>
      </c>
      <c r="H6" s="9">
        <v>320951</v>
      </c>
      <c r="I6" s="10">
        <f t="shared" si="0"/>
        <v>1132576</v>
      </c>
      <c r="J6" s="14">
        <f>Tabela2[[#This Row],[Total Geral ( + )]]/Tabela3[Meta Individual]</f>
        <v>0.686409696969697</v>
      </c>
      <c r="K6" s="10">
        <f>Tabela2[[#This Row],[Total Geral ( + )]]-Tabela1[[#This Row],[Total Geral]]</f>
        <v>330205</v>
      </c>
      <c r="N6" s="4">
        <v>15500000</v>
      </c>
    </row>
    <row r="7" spans="1:14" x14ac:dyDescent="0.25">
      <c r="A7" s="8" t="s">
        <v>17</v>
      </c>
      <c r="B7" s="9">
        <v>1235387</v>
      </c>
      <c r="D7" s="8" t="s">
        <v>17</v>
      </c>
      <c r="E7" s="9">
        <v>472883</v>
      </c>
      <c r="F7" s="11">
        <v>477140</v>
      </c>
      <c r="G7" s="9">
        <v>102449</v>
      </c>
      <c r="H7" s="9">
        <v>271557</v>
      </c>
      <c r="I7" s="10">
        <f t="shared" si="0"/>
        <v>1324029</v>
      </c>
      <c r="J7" s="14">
        <f>Tabela2[[#This Row],[Total Geral ( + )]]/Tabela3[Meta Individual]</f>
        <v>0.80244181818181815</v>
      </c>
      <c r="K7" s="10">
        <f>Tabela2[[#This Row],[Total Geral ( + )]]-Tabela1[[#This Row],[Total Geral]]</f>
        <v>88642</v>
      </c>
    </row>
    <row r="8" spans="1:14" x14ac:dyDescent="0.25">
      <c r="A8" s="8" t="s">
        <v>18</v>
      </c>
      <c r="B8" s="9">
        <v>765221</v>
      </c>
      <c r="D8" s="8" t="s">
        <v>18</v>
      </c>
      <c r="E8" s="9">
        <v>333463</v>
      </c>
      <c r="F8" s="11">
        <v>530038</v>
      </c>
      <c r="G8" s="9">
        <v>430926</v>
      </c>
      <c r="H8" s="9">
        <v>328597</v>
      </c>
      <c r="I8" s="10">
        <f t="shared" si="0"/>
        <v>1623024</v>
      </c>
      <c r="J8" s="14">
        <f>Tabela2[[#This Row],[Total Geral ( + )]]/Tabela3[Meta Individual]</f>
        <v>0.98365090909090913</v>
      </c>
      <c r="K8" s="10">
        <f>Tabela2[[#This Row],[Total Geral ( + )]]-Tabela1[[#This Row],[Total Geral]]</f>
        <v>857803</v>
      </c>
    </row>
    <row r="9" spans="1:14" x14ac:dyDescent="0.25">
      <c r="A9" s="8" t="s">
        <v>19</v>
      </c>
      <c r="B9" s="9">
        <v>1329030</v>
      </c>
      <c r="D9" s="8" t="s">
        <v>19</v>
      </c>
      <c r="E9" s="9">
        <v>516263</v>
      </c>
      <c r="F9" s="11">
        <v>210356</v>
      </c>
      <c r="G9" s="9">
        <v>236015</v>
      </c>
      <c r="H9" s="9">
        <v>225470</v>
      </c>
      <c r="I9" s="10">
        <f t="shared" si="0"/>
        <v>1188104</v>
      </c>
      <c r="J9" s="14">
        <f>Tabela2[[#This Row],[Total Geral ( + )]]/Tabela3[Meta Individual]</f>
        <v>0.72006303030303032</v>
      </c>
      <c r="K9" s="10">
        <f>Tabela2[[#This Row],[Total Geral ( + )]]-Tabela1[[#This Row],[Total Geral]]</f>
        <v>-140926</v>
      </c>
    </row>
    <row r="10" spans="1:14" x14ac:dyDescent="0.25">
      <c r="A10" s="8" t="s">
        <v>20</v>
      </c>
      <c r="B10" s="9">
        <v>1353138</v>
      </c>
      <c r="D10" s="8" t="s">
        <v>20</v>
      </c>
      <c r="E10" s="9">
        <v>332597</v>
      </c>
      <c r="F10" s="11">
        <v>322698</v>
      </c>
      <c r="G10" s="9">
        <v>380112</v>
      </c>
      <c r="H10" s="9">
        <v>235256</v>
      </c>
      <c r="I10" s="10">
        <f t="shared" si="0"/>
        <v>1270663</v>
      </c>
      <c r="J10" s="14">
        <f>Tabela2[[#This Row],[Total Geral ( + )]]/Tabela3[Meta Individual]</f>
        <v>0.77009878787878783</v>
      </c>
      <c r="K10" s="10">
        <f>Tabela2[[#This Row],[Total Geral ( + )]]-Tabela1[[#This Row],[Total Geral]]</f>
        <v>-82475</v>
      </c>
    </row>
    <row r="11" spans="1:14" x14ac:dyDescent="0.25">
      <c r="A11" s="8" t="s">
        <v>21</v>
      </c>
      <c r="B11" s="9">
        <v>1018543</v>
      </c>
      <c r="D11" s="8" t="s">
        <v>21</v>
      </c>
      <c r="E11" s="9">
        <v>148276</v>
      </c>
      <c r="F11" s="11">
        <v>371150</v>
      </c>
      <c r="G11" s="9">
        <v>129961</v>
      </c>
      <c r="H11" s="9">
        <v>318738</v>
      </c>
      <c r="I11" s="10">
        <f t="shared" si="0"/>
        <v>968125</v>
      </c>
      <c r="J11" s="14">
        <f>Tabela2[[#This Row],[Total Geral ( + )]]/Tabela3[Meta Individual]</f>
        <v>0.58674242424242429</v>
      </c>
      <c r="K11" s="10">
        <f>Tabela2[[#This Row],[Total Geral ( + )]]-Tabela1[[#This Row],[Total Geral]]</f>
        <v>-50418</v>
      </c>
    </row>
    <row r="12" spans="1:14" x14ac:dyDescent="0.25">
      <c r="A12" s="8" t="s">
        <v>22</v>
      </c>
      <c r="B12" s="9">
        <v>1171740</v>
      </c>
      <c r="D12" s="8" t="s">
        <v>22</v>
      </c>
      <c r="E12" s="9">
        <v>208548</v>
      </c>
      <c r="F12" s="11">
        <v>486251</v>
      </c>
      <c r="G12" s="9">
        <v>236721</v>
      </c>
      <c r="H12" s="9">
        <v>243025</v>
      </c>
      <c r="I12" s="10">
        <f t="shared" si="0"/>
        <v>1174545</v>
      </c>
      <c r="J12" s="14">
        <f>Tabela2[[#This Row],[Total Geral ( + )]]/Tabela3[Meta Individual]</f>
        <v>0.71184545454545456</v>
      </c>
      <c r="K12" s="10">
        <f>Tabela2[[#This Row],[Total Geral ( + )]]-Tabela1[[#This Row],[Total Geral]]</f>
        <v>2805</v>
      </c>
    </row>
    <row r="13" spans="1:14" x14ac:dyDescent="0.25">
      <c r="A13" s="16" t="s">
        <v>23</v>
      </c>
      <c r="B13" s="1">
        <f>SUBTOTAL(109,Tabela1[Total Geral])</f>
        <v>11426068</v>
      </c>
      <c r="D13" s="16" t="s">
        <v>23</v>
      </c>
      <c r="E13" s="16"/>
      <c r="F13" s="17"/>
      <c r="G13" s="16"/>
      <c r="H13" s="16"/>
      <c r="J13" s="18"/>
      <c r="K13" s="2">
        <f>SUBTOTAL(109,Tabela2[Evolução ( - )])</f>
        <v>428619</v>
      </c>
    </row>
    <row r="14" spans="1:14" x14ac:dyDescent="0.25">
      <c r="B14" s="4"/>
      <c r="I14" s="2"/>
      <c r="J14" s="5"/>
    </row>
    <row r="15" spans="1:14" x14ac:dyDescent="0.25">
      <c r="B15" s="6"/>
    </row>
    <row r="16" spans="1:14" x14ac:dyDescent="0.25">
      <c r="B16" s="6"/>
    </row>
  </sheetData>
  <mergeCells count="1">
    <mergeCell ref="D1:K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S. da Luz</dc:creator>
  <cp:lastModifiedBy>RICARDO LEITE DA SILVA ROCHA</cp:lastModifiedBy>
  <dcterms:created xsi:type="dcterms:W3CDTF">2025-11-05T22:49:15Z</dcterms:created>
  <dcterms:modified xsi:type="dcterms:W3CDTF">2025-11-06T00:25:23Z</dcterms:modified>
</cp:coreProperties>
</file>