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338739409\Desktop\Excel Basico\"/>
    </mc:Choice>
  </mc:AlternateContent>
  <xr:revisionPtr revIDLastSave="0" documentId="13_ncr:1_{15AF1BE0-FBF3-4BE6-98B6-BFDFD31EC8A1}" xr6:coauthVersionLast="36" xr6:coauthVersionMax="47" xr10:uidLastSave="{00000000-0000-0000-0000-000000000000}"/>
  <bookViews>
    <workbookView xWindow="0" yWindow="0" windowWidth="20490" windowHeight="7545" xr2:uid="{71DF8BF8-95CB-4877-8AC6-EB1C5C186063}"/>
  </bookViews>
  <sheets>
    <sheet name="Desafio 01" sheetId="1" r:id="rId1"/>
    <sheet name="Desafio 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8" i="1"/>
  <c r="I21" i="2"/>
  <c r="M20" i="2"/>
  <c r="G7" i="1"/>
  <c r="G6" i="1"/>
  <c r="G5" i="1"/>
  <c r="G4" i="1"/>
  <c r="G3" i="1"/>
  <c r="C20" i="2"/>
  <c r="M19" i="2"/>
  <c r="I19" i="2"/>
  <c r="E19" i="2"/>
</calcChain>
</file>

<file path=xl/sharedStrings.xml><?xml version="1.0" encoding="utf-8"?>
<sst xmlns="http://schemas.openxmlformats.org/spreadsheetml/2006/main" count="81" uniqueCount="75">
  <si>
    <t>Vendas 2025</t>
  </si>
  <si>
    <t>Filial</t>
  </si>
  <si>
    <t>Vendas</t>
  </si>
  <si>
    <t>Relatório rápido</t>
  </si>
  <si>
    <t>Barueri</t>
  </si>
  <si>
    <t>Nº de Filiais</t>
  </si>
  <si>
    <t>Belém</t>
  </si>
  <si>
    <t>Relatórios recebidos</t>
  </si>
  <si>
    <t>Blumenau</t>
  </si>
  <si>
    <t>Relatórios não recebidos</t>
  </si>
  <si>
    <t>Cajamar</t>
  </si>
  <si>
    <t>Valor Máximo</t>
  </si>
  <si>
    <t>Campinas</t>
  </si>
  <si>
    <t>Valor Mínimo</t>
  </si>
  <si>
    <t>Chapecó</t>
  </si>
  <si>
    <t>Soma das vendas</t>
  </si>
  <si>
    <t>Cruzeiro do Oeste</t>
  </si>
  <si>
    <t>Média das vendas</t>
  </si>
  <si>
    <t>Diadema</t>
  </si>
  <si>
    <t>Embu das Artes</t>
  </si>
  <si>
    <t>Goianésia</t>
  </si>
  <si>
    <t>Guarujá</t>
  </si>
  <si>
    <t>Indaial</t>
  </si>
  <si>
    <t>Indaiatuba</t>
  </si>
  <si>
    <t>Juazeiro do Norte</t>
  </si>
  <si>
    <t>Jundiaí</t>
  </si>
  <si>
    <t>Landri Sales</t>
  </si>
  <si>
    <t>Los Angeles</t>
  </si>
  <si>
    <t>Mairinque</t>
  </si>
  <si>
    <t>Osasco</t>
  </si>
  <si>
    <t>Ourinhos</t>
  </si>
  <si>
    <t>Ouro Preto</t>
  </si>
  <si>
    <t>Paranaguá</t>
  </si>
  <si>
    <t>Peruíbe</t>
  </si>
  <si>
    <t>Salvador</t>
  </si>
  <si>
    <t>Santos</t>
  </si>
  <si>
    <t>São Paulo</t>
  </si>
  <si>
    <t>Sorocaba</t>
  </si>
  <si>
    <t>TABELA DE METAS E VENDAS 2025</t>
  </si>
  <si>
    <t>Representante</t>
  </si>
  <si>
    <t>Meta</t>
  </si>
  <si>
    <t>1º Trimestre</t>
  </si>
  <si>
    <t>2º Trimestre</t>
  </si>
  <si>
    <t>3º Trimestre</t>
  </si>
  <si>
    <t>4º Trimestre</t>
  </si>
  <si>
    <t>Ana Luisa</t>
  </si>
  <si>
    <t>Carmen Oliveira</t>
  </si>
  <si>
    <t>Eduardo Silva</t>
  </si>
  <si>
    <t>Géssica Leonardo</t>
  </si>
  <si>
    <t>Heitor Passos</t>
  </si>
  <si>
    <t>Quebec</t>
  </si>
  <si>
    <t>Isaac Novaes</t>
  </si>
  <si>
    <t>Dublin</t>
  </si>
  <si>
    <t>Judith Shermann</t>
  </si>
  <si>
    <t>Luanda</t>
  </si>
  <si>
    <t>Lidia Madeira</t>
  </si>
  <si>
    <t>Chiba</t>
  </si>
  <si>
    <t>Marieta Bomtempo</t>
  </si>
  <si>
    <t>Utah</t>
  </si>
  <si>
    <t>Luzinete Lima</t>
  </si>
  <si>
    <t>Assunção</t>
  </si>
  <si>
    <t>Tiago Guilherme</t>
  </si>
  <si>
    <t>Medelín</t>
  </si>
  <si>
    <t>Valter Sousa</t>
  </si>
  <si>
    <t>Boituva</t>
  </si>
  <si>
    <t>Relatório Básico Final</t>
  </si>
  <si>
    <t>Em nossa equipe contamos com</t>
  </si>
  <si>
    <t>representantes  de</t>
  </si>
  <si>
    <t>filiais.</t>
  </si>
  <si>
    <t>A maior venda de 2025 foi</t>
  </si>
  <si>
    <t>e nossa menor venda</t>
  </si>
  <si>
    <t>de 2025 foi</t>
  </si>
  <si>
    <t>A média de vendas para 2023 foi superada em 2025, quando, tivemos um valor médio de</t>
  </si>
  <si>
    <t>Portanto, vale ressaltar</t>
  </si>
  <si>
    <t>que em 2025 conseguimos obter um total de vendas no valor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</si>
</sst>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theme="9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43" fontId="0" fillId="4" borderId="3" xfId="1" applyFont="1" applyFill="1" applyBorder="1"/>
    <xf numFmtId="164" fontId="0" fillId="4" borderId="3" xfId="1" applyNumberFormat="1" applyFont="1" applyFill="1" applyBorder="1" applyAlignment="1">
      <alignment horizontal="center" vertical="center"/>
    </xf>
    <xf numFmtId="0" fontId="5" fillId="5" borderId="4" xfId="0" applyFont="1" applyFill="1" applyBorder="1"/>
    <xf numFmtId="43" fontId="0" fillId="5" borderId="5" xfId="1" applyFont="1" applyFill="1" applyBorder="1"/>
    <xf numFmtId="164" fontId="0" fillId="5" borderId="5" xfId="1" applyNumberFormat="1" applyFont="1" applyFill="1" applyBorder="1" applyAlignment="1">
      <alignment horizontal="center" vertical="center"/>
    </xf>
    <xf numFmtId="0" fontId="5" fillId="4" borderId="4" xfId="0" applyFont="1" applyFill="1" applyBorder="1"/>
    <xf numFmtId="43" fontId="0" fillId="4" borderId="5" xfId="1" applyFont="1" applyFill="1" applyBorder="1"/>
    <xf numFmtId="164" fontId="0" fillId="4" borderId="5" xfId="1" applyNumberFormat="1" applyFont="1" applyFill="1" applyBorder="1" applyAlignment="1">
      <alignment horizontal="center" vertical="center"/>
    </xf>
    <xf numFmtId="43" fontId="0" fillId="5" borderId="5" xfId="1" applyFont="1" applyFill="1" applyBorder="1" applyAlignment="1">
      <alignment horizontal="center" vertical="center"/>
    </xf>
    <xf numFmtId="43" fontId="0" fillId="4" borderId="5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0" fontId="3" fillId="0" borderId="0" xfId="1" applyNumberFormat="1" applyFont="1" applyAlignment="1">
      <alignment horizontal="center" vertical="center"/>
    </xf>
    <xf numFmtId="40" fontId="0" fillId="0" borderId="0" xfId="1" applyNumberFormat="1" applyFont="1" applyAlignment="1">
      <alignment horizontal="center" vertical="center"/>
    </xf>
    <xf numFmtId="0" fontId="7" fillId="7" borderId="0" xfId="0" applyFont="1" applyFill="1"/>
    <xf numFmtId="0" fontId="0" fillId="0" borderId="0" xfId="0" applyAlignment="1">
      <alignment vertical="center"/>
    </xf>
    <xf numFmtId="0" fontId="8" fillId="8" borderId="0" xfId="0" applyFont="1" applyFill="1" applyAlignment="1">
      <alignment horizontal="left" vertical="center" indent="1"/>
    </xf>
    <xf numFmtId="0" fontId="0" fillId="8" borderId="0" xfId="0" applyFill="1" applyAlignment="1">
      <alignment vertical="center"/>
    </xf>
    <xf numFmtId="0" fontId="8" fillId="8" borderId="0" xfId="0" applyFont="1" applyFill="1" applyAlignment="1">
      <alignment vertical="center"/>
    </xf>
    <xf numFmtId="3" fontId="9" fillId="6" borderId="9" xfId="0" applyNumberFormat="1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 indent="1"/>
    </xf>
    <xf numFmtId="43" fontId="9" fillId="6" borderId="9" xfId="1" applyFont="1" applyFill="1" applyBorder="1" applyAlignment="1">
      <alignment horizontal="center" vertical="center"/>
    </xf>
    <xf numFmtId="43" fontId="1" fillId="8" borderId="0" xfId="1" applyFont="1" applyFill="1" applyAlignment="1">
      <alignment vertical="center"/>
    </xf>
    <xf numFmtId="0" fontId="0" fillId="8" borderId="0" xfId="0" applyFill="1" applyAlignment="1">
      <alignment horizontal="left" vertical="center" indent="3"/>
    </xf>
    <xf numFmtId="44" fontId="3" fillId="8" borderId="0" xfId="2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1" fillId="0" borderId="0" xfId="0" applyFont="1"/>
    <xf numFmtId="0" fontId="0" fillId="8" borderId="0" xfId="0" applyFill="1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43" fontId="9" fillId="6" borderId="6" xfId="1" applyFont="1" applyFill="1" applyBorder="1" applyAlignment="1">
      <alignment horizontal="center" vertical="center"/>
    </xf>
    <xf numFmtId="43" fontId="9" fillId="6" borderId="8" xfId="1" applyFont="1" applyFill="1" applyBorder="1" applyAlignment="1">
      <alignment horizontal="center" vertical="center"/>
    </xf>
    <xf numFmtId="39" fontId="9" fillId="6" borderId="6" xfId="1" applyNumberFormat="1" applyFont="1" applyFill="1" applyBorder="1" applyAlignment="1">
      <alignment horizontal="center" vertical="center"/>
    </xf>
    <xf numFmtId="39" fontId="9" fillId="6" borderId="8" xfId="1" applyNumberFormat="1" applyFont="1" applyFill="1" applyBorder="1" applyAlignment="1">
      <alignment horizontal="center" vertical="center"/>
    </xf>
    <xf numFmtId="9" fontId="9" fillId="6" borderId="9" xfId="3" applyFont="1" applyFill="1" applyBorder="1" applyAlignment="1">
      <alignment horizontal="center" vertical="center"/>
    </xf>
    <xf numFmtId="44" fontId="0" fillId="4" borderId="5" xfId="2" applyFont="1" applyFill="1" applyBorder="1" applyAlignment="1">
      <alignment horizontal="center" vertical="center"/>
    </xf>
    <xf numFmtId="44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66675</xdr:rowOff>
    </xdr:from>
    <xdr:to>
      <xdr:col>6</xdr:col>
      <xdr:colOff>238125</xdr:colOff>
      <xdr:row>10</xdr:row>
      <xdr:rowOff>57149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B5FD3D8-D799-4CB9-98B1-B15BBF3AD178}"/>
            </a:ext>
          </a:extLst>
        </xdr:cNvPr>
        <xdr:cNvGrpSpPr/>
      </xdr:nvGrpSpPr>
      <xdr:grpSpPr>
        <a:xfrm>
          <a:off x="85725" y="447675"/>
          <a:ext cx="4219575" cy="1562099"/>
          <a:chOff x="323850" y="504824"/>
          <a:chExt cx="2733675" cy="1435179"/>
        </a:xfrm>
      </xdr:grpSpPr>
      <xdr:pic>
        <xdr:nvPicPr>
          <xdr:cNvPr id="3" name="Imagem 2" descr="Resultado de imagem para METAS VENDAS">
            <a:extLst>
              <a:ext uri="{FF2B5EF4-FFF2-40B4-BE49-F238E27FC236}">
                <a16:creationId xmlns:a16="http://schemas.microsoft.com/office/drawing/2014/main" id="{90ACAC8E-089A-4FB0-80FD-0D3E353358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3850" y="504824"/>
            <a:ext cx="2733675" cy="1435179"/>
          </a:xfrm>
          <a:prstGeom prst="rect">
            <a:avLst/>
          </a:prstGeom>
          <a:ln>
            <a:noFill/>
          </a:ln>
          <a:effectLst>
            <a:outerShdw blurRad="190500" algn="tl" rotWithShape="0">
              <a:srgbClr val="000000">
                <a:alpha val="70000"/>
              </a:srgbClr>
            </a:outerShdw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2FAA9ED5-10A6-45B9-8F90-C3BD3D6EE99E}"/>
              </a:ext>
            </a:extLst>
          </xdr:cNvPr>
          <xdr:cNvSpPr txBox="1"/>
        </xdr:nvSpPr>
        <xdr:spPr>
          <a:xfrm>
            <a:off x="428626" y="1514475"/>
            <a:ext cx="2457450" cy="399522"/>
          </a:xfrm>
          <a:prstGeom prst="round2DiagRect">
            <a:avLst>
              <a:gd name="adj1" fmla="val 49454"/>
              <a:gd name="adj2" fmla="val 0"/>
            </a:avLst>
          </a:prstGeom>
          <a:solidFill>
            <a:schemeClr val="bg1">
              <a:alpha val="69000"/>
            </a:schemeClr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pt-BR" sz="1800">
                <a:latin typeface="Berlin Sans FB" panose="020E0602020502020306" pitchFamily="34" charset="0"/>
              </a:rPr>
              <a:t>METAS 2025</a:t>
            </a:r>
          </a:p>
        </xdr:txBody>
      </xdr:sp>
    </xdr:grpSp>
    <xdr:clientData/>
  </xdr:twoCellAnchor>
  <xdr:twoCellAnchor>
    <xdr:from>
      <xdr:col>0</xdr:col>
      <xdr:colOff>85725</xdr:colOff>
      <xdr:row>10</xdr:row>
      <xdr:rowOff>19050</xdr:rowOff>
    </xdr:from>
    <xdr:to>
      <xdr:col>6</xdr:col>
      <xdr:colOff>219075</xdr:colOff>
      <xdr:row>14</xdr:row>
      <xdr:rowOff>182879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3BFB2D28-1002-4A24-A1A1-B78A2AFDF3BB}"/>
            </a:ext>
          </a:extLst>
        </xdr:cNvPr>
        <xdr:cNvSpPr txBox="1"/>
      </xdr:nvSpPr>
      <xdr:spPr>
        <a:xfrm>
          <a:off x="85725" y="1916430"/>
          <a:ext cx="3120390" cy="910589"/>
        </a:xfrm>
        <a:prstGeom prst="round2DiagRect">
          <a:avLst>
            <a:gd name="adj1" fmla="val 49454"/>
            <a:gd name="adj2" fmla="val 0"/>
          </a:avLst>
        </a:prstGeom>
        <a:solidFill>
          <a:schemeClr val="bg1">
            <a:alpha val="69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 a meta principal de um capitão</a:t>
          </a:r>
        </a:p>
        <a:p>
          <a:pPr algn="ctr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fosse preservar seu barco, </a:t>
          </a:r>
        </a:p>
        <a:p>
          <a:pPr algn="ctr"/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ele o conservaria no porto para sempre.</a:t>
          </a:r>
          <a:endParaRPr lang="pt-BR" sz="1800">
            <a:latin typeface="Berlin Sans FB" panose="020E0602020502020306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AE143-B85D-4676-8D88-ABEFE9D69413}" name="tblclientesdevedores" displayName="tblclientesdevedores" ref="H4:N16" totalsRowShown="0" headerRowDxfId="8" dataDxfId="7">
  <autoFilter ref="H4:N16" xr:uid="{1F9AE143-B85D-4676-8D88-ABEFE9D69413}"/>
  <sortState ref="H5:N16">
    <sortCondition ref="H4"/>
  </sortState>
  <tableColumns count="7">
    <tableColumn id="1" xr3:uid="{4105CF80-3459-44F5-B90B-9F94C8F3CCF2}" name="Representante" dataDxfId="6"/>
    <tableColumn id="8" xr3:uid="{031FB566-4D5E-4F11-9685-6CE108EC98AD}" name="Filial" dataDxfId="5"/>
    <tableColumn id="2" xr3:uid="{5F8A765A-F763-47B8-944A-A3D4F2DB34E5}" name="Meta" dataDxfId="4" dataCellStyle="Vírgula"/>
    <tableColumn id="3" xr3:uid="{8EF83D23-9992-4E65-BFAA-DCD6531378C4}" name="1º Trimestre" dataDxfId="3" dataCellStyle="Vírgula"/>
    <tableColumn id="4" xr3:uid="{1B8E5ABD-FEDF-44E4-AA06-D56BA45D3D40}" name="2º Trimestre" dataDxfId="2" dataCellStyle="Vírgula"/>
    <tableColumn id="5" xr3:uid="{A0010F19-4C1F-489F-B315-5CC0A64D4154}" name="3º Trimestre" dataDxfId="1" dataCellStyle="Vírgula"/>
    <tableColumn id="6" xr3:uid="{AB21C5C1-0F65-4DF6-9E38-0BD603009D9A}" name="4º Trimestre" dataDxfId="0" dataCellStyle="Vírgul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74E7-E024-4324-A882-DA98E3CC3584}">
  <dimension ref="A1:G29"/>
  <sheetViews>
    <sheetView tabSelected="1" workbookViewId="0">
      <selection activeCell="I8" sqref="I8"/>
    </sheetView>
  </sheetViews>
  <sheetFormatPr defaultRowHeight="15" x14ac:dyDescent="0.25"/>
  <cols>
    <col min="1" max="1" width="15.85546875" bestFit="1" customWidth="1"/>
    <col min="2" max="2" width="12.85546875" bestFit="1" customWidth="1"/>
    <col min="6" max="6" width="21.42578125" bestFit="1" customWidth="1"/>
    <col min="7" max="7" width="15.85546875" bestFit="1" customWidth="1"/>
  </cols>
  <sheetData>
    <row r="1" spans="1:7" x14ac:dyDescent="0.25">
      <c r="A1" s="32" t="s">
        <v>0</v>
      </c>
      <c r="B1" s="32"/>
    </row>
    <row r="2" spans="1:7" ht="16.5" thickBot="1" x14ac:dyDescent="0.3">
      <c r="A2" s="1" t="s">
        <v>1</v>
      </c>
      <c r="B2" s="2" t="s">
        <v>2</v>
      </c>
      <c r="F2" s="33" t="s">
        <v>3</v>
      </c>
      <c r="G2" s="33"/>
    </row>
    <row r="3" spans="1:7" ht="15.75" thickTop="1" x14ac:dyDescent="0.25">
      <c r="A3" s="3" t="s">
        <v>4</v>
      </c>
      <c r="B3" s="4">
        <v>1636372.8347838109</v>
      </c>
      <c r="F3" s="3" t="s">
        <v>5</v>
      </c>
      <c r="G3" s="5">
        <f>COUNTA(A3:A29)</f>
        <v>27</v>
      </c>
    </row>
    <row r="4" spans="1:7" x14ac:dyDescent="0.25">
      <c r="A4" s="6" t="s">
        <v>6</v>
      </c>
      <c r="B4" s="7"/>
      <c r="F4" s="6" t="s">
        <v>7</v>
      </c>
      <c r="G4" s="8">
        <f>COUNTA(B3:B29)</f>
        <v>22</v>
      </c>
    </row>
    <row r="5" spans="1:7" x14ac:dyDescent="0.25">
      <c r="A5" s="9" t="s">
        <v>8</v>
      </c>
      <c r="B5" s="10">
        <v>3636137.7402457185</v>
      </c>
      <c r="F5" s="9" t="s">
        <v>9</v>
      </c>
      <c r="G5" s="11">
        <f>COUNTBLANK(B3:B29)</f>
        <v>5</v>
      </c>
    </row>
    <row r="6" spans="1:7" x14ac:dyDescent="0.25">
      <c r="A6" s="6" t="s">
        <v>10</v>
      </c>
      <c r="B6" s="7">
        <v>2575070.6704293508</v>
      </c>
      <c r="F6" s="6" t="s">
        <v>11</v>
      </c>
      <c r="G6" s="12">
        <f>MAX(B3:B29)</f>
        <v>3636137.7402457185</v>
      </c>
    </row>
    <row r="7" spans="1:7" x14ac:dyDescent="0.25">
      <c r="A7" s="9" t="s">
        <v>12</v>
      </c>
      <c r="B7" s="10">
        <v>3016424.2073855423</v>
      </c>
      <c r="F7" s="9" t="s">
        <v>13</v>
      </c>
      <c r="G7" s="13">
        <f>MIN(B3:B29)</f>
        <v>1636372.8347838109</v>
      </c>
    </row>
    <row r="8" spans="1:7" x14ac:dyDescent="0.25">
      <c r="A8" s="6" t="s">
        <v>14</v>
      </c>
      <c r="B8" s="7">
        <v>2657910.3451917735</v>
      </c>
      <c r="F8" s="6" t="s">
        <v>15</v>
      </c>
      <c r="G8" s="12">
        <f>SUM(B3:B29)</f>
        <v>53051085.298635028</v>
      </c>
    </row>
    <row r="9" spans="1:7" x14ac:dyDescent="0.25">
      <c r="A9" s="9" t="s">
        <v>16</v>
      </c>
      <c r="B9" s="10">
        <v>1798727.0721427489</v>
      </c>
      <c r="F9" s="9" t="s">
        <v>17</v>
      </c>
      <c r="G9" s="43">
        <f>AVERAGE(B3:B29)</f>
        <v>2411412.968119774</v>
      </c>
    </row>
    <row r="10" spans="1:7" x14ac:dyDescent="0.25">
      <c r="A10" s="6" t="s">
        <v>18</v>
      </c>
      <c r="B10" s="7">
        <v>2441677.7717648139</v>
      </c>
      <c r="G10" s="44"/>
    </row>
    <row r="11" spans="1:7" x14ac:dyDescent="0.25">
      <c r="A11" s="9" t="s">
        <v>19</v>
      </c>
      <c r="B11" s="10"/>
    </row>
    <row r="12" spans="1:7" x14ac:dyDescent="0.25">
      <c r="A12" s="6" t="s">
        <v>20</v>
      </c>
      <c r="B12" s="7">
        <v>2094644.2346953596</v>
      </c>
    </row>
    <row r="13" spans="1:7" x14ac:dyDescent="0.25">
      <c r="A13" s="9" t="s">
        <v>21</v>
      </c>
      <c r="B13" s="10">
        <v>1954872.8905345346</v>
      </c>
    </row>
    <row r="14" spans="1:7" x14ac:dyDescent="0.25">
      <c r="A14" s="6" t="s">
        <v>22</v>
      </c>
      <c r="B14" s="7">
        <v>2684011.2640175442</v>
      </c>
    </row>
    <row r="15" spans="1:7" x14ac:dyDescent="0.25">
      <c r="A15" s="9" t="s">
        <v>23</v>
      </c>
      <c r="B15" s="10">
        <v>1967382.9713020385</v>
      </c>
    </row>
    <row r="16" spans="1:7" x14ac:dyDescent="0.25">
      <c r="A16" s="6" t="s">
        <v>24</v>
      </c>
      <c r="B16" s="7">
        <v>3205955.8584812172</v>
      </c>
    </row>
    <row r="17" spans="1:2" x14ac:dyDescent="0.25">
      <c r="A17" s="9" t="s">
        <v>25</v>
      </c>
      <c r="B17" s="10">
        <v>1802166.2746959655</v>
      </c>
    </row>
    <row r="18" spans="1:2" x14ac:dyDescent="0.25">
      <c r="A18" s="6" t="s">
        <v>26</v>
      </c>
      <c r="B18" s="7">
        <v>2085613.9243565761</v>
      </c>
    </row>
    <row r="19" spans="1:2" x14ac:dyDescent="0.25">
      <c r="A19" s="9" t="s">
        <v>27</v>
      </c>
      <c r="B19" s="10"/>
    </row>
    <row r="20" spans="1:2" x14ac:dyDescent="0.25">
      <c r="A20" s="6" t="s">
        <v>28</v>
      </c>
      <c r="B20" s="7">
        <v>1918621.2717004544</v>
      </c>
    </row>
    <row r="21" spans="1:2" x14ac:dyDescent="0.25">
      <c r="A21" s="9" t="s">
        <v>29</v>
      </c>
      <c r="B21" s="10">
        <v>1700072.0681886224</v>
      </c>
    </row>
    <row r="22" spans="1:2" x14ac:dyDescent="0.25">
      <c r="A22" s="6" t="s">
        <v>30</v>
      </c>
      <c r="B22" s="7"/>
    </row>
    <row r="23" spans="1:2" x14ac:dyDescent="0.25">
      <c r="A23" s="9" t="s">
        <v>31</v>
      </c>
      <c r="B23" s="10">
        <v>2054341.2206695159</v>
      </c>
    </row>
    <row r="24" spans="1:2" x14ac:dyDescent="0.25">
      <c r="A24" s="6" t="s">
        <v>32</v>
      </c>
      <c r="B24" s="7">
        <v>1811240.66902203</v>
      </c>
    </row>
    <row r="25" spans="1:2" x14ac:dyDescent="0.25">
      <c r="A25" s="9" t="s">
        <v>33</v>
      </c>
      <c r="B25" s="10">
        <v>2186195.9641906964</v>
      </c>
    </row>
    <row r="26" spans="1:2" x14ac:dyDescent="0.25">
      <c r="A26" s="6" t="s">
        <v>34</v>
      </c>
      <c r="B26" s="7">
        <v>3580140.4196578627</v>
      </c>
    </row>
    <row r="27" spans="1:2" x14ac:dyDescent="0.25">
      <c r="A27" s="9" t="s">
        <v>35</v>
      </c>
      <c r="B27" s="10">
        <v>2613873.0489751361</v>
      </c>
    </row>
    <row r="28" spans="1:2" x14ac:dyDescent="0.25">
      <c r="A28" s="6" t="s">
        <v>36</v>
      </c>
      <c r="B28" s="7"/>
    </row>
    <row r="29" spans="1:2" x14ac:dyDescent="0.25">
      <c r="A29" s="9" t="s">
        <v>37</v>
      </c>
      <c r="B29" s="10">
        <v>3629632.5762037146</v>
      </c>
    </row>
  </sheetData>
  <mergeCells count="2">
    <mergeCell ref="A1:B1"/>
    <mergeCell ref="F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9CDF-E58C-4A79-A921-B526390669BE}">
  <dimension ref="A2:N22"/>
  <sheetViews>
    <sheetView topLeftCell="A13" workbookViewId="0">
      <selection activeCell="I22" sqref="I22"/>
    </sheetView>
  </sheetViews>
  <sheetFormatPr defaultRowHeight="15" x14ac:dyDescent="0.25"/>
  <cols>
    <col min="2" max="2" width="11" customWidth="1"/>
    <col min="4" max="4" width="13.42578125" customWidth="1"/>
    <col min="8" max="8" width="18.7109375" customWidth="1"/>
    <col min="9" max="9" width="13.7109375" customWidth="1"/>
    <col min="10" max="10" width="12.42578125" customWidth="1"/>
    <col min="11" max="11" width="12.85546875" customWidth="1"/>
    <col min="12" max="12" width="14.28515625" customWidth="1"/>
    <col min="13" max="13" width="16.42578125" bestFit="1" customWidth="1"/>
    <col min="14" max="14" width="19.7109375" customWidth="1"/>
  </cols>
  <sheetData>
    <row r="2" spans="3:14" x14ac:dyDescent="0.25">
      <c r="C2" t="s">
        <v>0</v>
      </c>
    </row>
    <row r="3" spans="3:14" ht="18.75" x14ac:dyDescent="0.3">
      <c r="H3" s="34" t="s">
        <v>38</v>
      </c>
      <c r="I3" s="34"/>
      <c r="J3" s="34"/>
      <c r="K3" s="34"/>
      <c r="L3" s="34"/>
      <c r="M3" s="34"/>
      <c r="N3" s="34"/>
    </row>
    <row r="4" spans="3:14" x14ac:dyDescent="0.25">
      <c r="H4" s="14" t="s">
        <v>39</v>
      </c>
      <c r="I4" s="14" t="s">
        <v>1</v>
      </c>
      <c r="J4" s="14" t="s">
        <v>40</v>
      </c>
      <c r="K4" s="14" t="s">
        <v>41</v>
      </c>
      <c r="L4" s="14" t="s">
        <v>42</v>
      </c>
      <c r="M4" s="14" t="s">
        <v>43</v>
      </c>
      <c r="N4" s="14" t="s">
        <v>44</v>
      </c>
    </row>
    <row r="5" spans="3:14" x14ac:dyDescent="0.25">
      <c r="H5" s="15" t="s">
        <v>45</v>
      </c>
      <c r="I5" s="15" t="s">
        <v>4</v>
      </c>
      <c r="J5" s="16">
        <v>1953550</v>
      </c>
      <c r="K5" s="17">
        <v>7145278</v>
      </c>
      <c r="L5" s="17">
        <v>4013327</v>
      </c>
      <c r="M5" s="17">
        <v>9502713</v>
      </c>
      <c r="N5" s="17">
        <v>5349417</v>
      </c>
    </row>
    <row r="6" spans="3:14" x14ac:dyDescent="0.25">
      <c r="H6" s="15" t="s">
        <v>46</v>
      </c>
      <c r="I6" s="15" t="s">
        <v>37</v>
      </c>
      <c r="J6" s="16">
        <v>8422219</v>
      </c>
      <c r="K6" s="17"/>
      <c r="L6" s="17"/>
      <c r="M6" s="17">
        <v>5068932</v>
      </c>
      <c r="N6" s="17"/>
    </row>
    <row r="7" spans="3:14" x14ac:dyDescent="0.25">
      <c r="H7" s="15" t="s">
        <v>47</v>
      </c>
      <c r="I7" s="15" t="s">
        <v>10</v>
      </c>
      <c r="J7" s="16">
        <v>1666184</v>
      </c>
      <c r="K7" s="17">
        <v>4351917</v>
      </c>
      <c r="L7" s="17">
        <v>4923778</v>
      </c>
      <c r="M7" s="17">
        <v>5949417</v>
      </c>
      <c r="N7" s="17">
        <v>3900864</v>
      </c>
    </row>
    <row r="8" spans="3:14" x14ac:dyDescent="0.25">
      <c r="H8" s="15" t="s">
        <v>48</v>
      </c>
      <c r="I8" s="15" t="s">
        <v>27</v>
      </c>
      <c r="J8" s="16">
        <v>6743232</v>
      </c>
      <c r="K8" s="17">
        <v>3547813</v>
      </c>
      <c r="L8" s="17">
        <v>8068638</v>
      </c>
      <c r="M8" s="17"/>
      <c r="N8" s="17">
        <v>2481432</v>
      </c>
    </row>
    <row r="9" spans="3:14" x14ac:dyDescent="0.25">
      <c r="H9" s="15" t="s">
        <v>49</v>
      </c>
      <c r="I9" s="15" t="s">
        <v>50</v>
      </c>
      <c r="J9" s="16">
        <v>5399138</v>
      </c>
      <c r="K9" s="17">
        <v>8849771</v>
      </c>
      <c r="L9" s="17"/>
      <c r="M9" s="17">
        <v>4565987</v>
      </c>
      <c r="N9" s="17">
        <v>3201077</v>
      </c>
    </row>
    <row r="10" spans="3:14" x14ac:dyDescent="0.25">
      <c r="H10" s="15" t="s">
        <v>51</v>
      </c>
      <c r="I10" s="15" t="s">
        <v>52</v>
      </c>
      <c r="J10" s="16">
        <v>9392702</v>
      </c>
      <c r="K10" s="17">
        <v>9159065</v>
      </c>
      <c r="L10" s="17">
        <v>7081959</v>
      </c>
      <c r="M10" s="17">
        <v>1547606</v>
      </c>
      <c r="N10" s="17">
        <v>1746546</v>
      </c>
    </row>
    <row r="11" spans="3:14" x14ac:dyDescent="0.25">
      <c r="H11" s="15" t="s">
        <v>53</v>
      </c>
      <c r="I11" s="15" t="s">
        <v>54</v>
      </c>
      <c r="J11" s="16">
        <v>9257488</v>
      </c>
      <c r="K11" s="17"/>
      <c r="L11" s="17">
        <v>2441407</v>
      </c>
      <c r="M11" s="17">
        <v>2956471</v>
      </c>
      <c r="N11" s="17"/>
    </row>
    <row r="12" spans="3:14" x14ac:dyDescent="0.25">
      <c r="H12" s="15" t="s">
        <v>55</v>
      </c>
      <c r="I12" s="15" t="s">
        <v>56</v>
      </c>
      <c r="J12" s="16">
        <v>9014512</v>
      </c>
      <c r="K12" s="17">
        <v>9861365</v>
      </c>
      <c r="L12" s="17">
        <v>9781234</v>
      </c>
      <c r="M12" s="17">
        <v>2831937</v>
      </c>
      <c r="N12" s="17">
        <v>7987337</v>
      </c>
    </row>
    <row r="13" spans="3:14" x14ac:dyDescent="0.25">
      <c r="H13" s="15" t="s">
        <v>57</v>
      </c>
      <c r="I13" s="15" t="s">
        <v>58</v>
      </c>
      <c r="J13" s="16">
        <v>3486507</v>
      </c>
      <c r="K13" s="17">
        <v>6127963</v>
      </c>
      <c r="L13" s="17">
        <v>1953733</v>
      </c>
      <c r="M13" s="17">
        <v>5334834</v>
      </c>
      <c r="N13" s="17">
        <v>5666488</v>
      </c>
    </row>
    <row r="14" spans="3:14" x14ac:dyDescent="0.25">
      <c r="H14" s="15" t="s">
        <v>59</v>
      </c>
      <c r="I14" s="15" t="s">
        <v>60</v>
      </c>
      <c r="J14" s="16">
        <v>4098641</v>
      </c>
      <c r="K14" s="17"/>
      <c r="L14" s="17">
        <v>8768766</v>
      </c>
      <c r="M14" s="17">
        <v>8630430</v>
      </c>
      <c r="N14" s="17">
        <v>4852098</v>
      </c>
    </row>
    <row r="15" spans="3:14" x14ac:dyDescent="0.25">
      <c r="H15" s="15" t="s">
        <v>61</v>
      </c>
      <c r="I15" s="15" t="s">
        <v>62</v>
      </c>
      <c r="J15" s="16">
        <v>6458199</v>
      </c>
      <c r="K15" s="17">
        <v>9075066</v>
      </c>
      <c r="L15" s="17">
        <v>9651644</v>
      </c>
      <c r="M15" s="17"/>
      <c r="N15" s="17">
        <v>6795761</v>
      </c>
    </row>
    <row r="16" spans="3:14" x14ac:dyDescent="0.25">
      <c r="H16" s="15" t="s">
        <v>63</v>
      </c>
      <c r="I16" s="15" t="s">
        <v>64</v>
      </c>
      <c r="J16" s="16">
        <v>2638795</v>
      </c>
      <c r="K16" s="17">
        <v>4593057</v>
      </c>
      <c r="L16" s="17">
        <v>8575801</v>
      </c>
      <c r="M16" s="17">
        <v>3190117</v>
      </c>
      <c r="N16" s="17"/>
    </row>
    <row r="18" spans="1:14" ht="19.5" thickBot="1" x14ac:dyDescent="0.35">
      <c r="B18" s="18" t="s">
        <v>65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8" thickBot="1" x14ac:dyDescent="0.3">
      <c r="A19" s="19"/>
      <c r="B19" s="20" t="s">
        <v>66</v>
      </c>
      <c r="C19" s="21"/>
      <c r="D19" s="21"/>
      <c r="E19" s="35">
        <f>COUNTA(tblclientesdevedores[Representante])</f>
        <v>12</v>
      </c>
      <c r="F19" s="36"/>
      <c r="G19" s="37"/>
      <c r="H19" s="22" t="s">
        <v>67</v>
      </c>
      <c r="I19" s="23">
        <f>COUNTA(tblclientesdevedores[Filial])</f>
        <v>12</v>
      </c>
      <c r="J19" s="24" t="s">
        <v>68</v>
      </c>
      <c r="K19" s="24" t="s">
        <v>69</v>
      </c>
      <c r="L19" s="21"/>
      <c r="M19" s="25">
        <f>MAX(tblclientesdevedores[[1º Trimestre]:[4º Trimestre]])</f>
        <v>9861365</v>
      </c>
      <c r="N19" s="26" t="s">
        <v>70</v>
      </c>
    </row>
    <row r="20" spans="1:14" ht="18" thickBot="1" x14ac:dyDescent="0.3">
      <c r="A20" s="19"/>
      <c r="B20" s="21" t="s">
        <v>71</v>
      </c>
      <c r="C20" s="38">
        <f>MIN(tblclientesdevedores[[1º Trimestre]:[4º Trimestre]])</f>
        <v>1547606</v>
      </c>
      <c r="D20" s="39"/>
      <c r="E20" s="27" t="s">
        <v>72</v>
      </c>
      <c r="F20" s="28"/>
      <c r="G20" s="28"/>
      <c r="H20" s="31"/>
      <c r="I20" s="21"/>
      <c r="J20" s="21"/>
      <c r="K20" s="21"/>
      <c r="L20" s="21"/>
      <c r="M20" s="42">
        <f>AVERAGE(tblclientesdevedores[[1º Trimestre]:[4º Trimestre]])</f>
        <v>5777132.7894736845</v>
      </c>
      <c r="N20" s="21" t="s">
        <v>73</v>
      </c>
    </row>
    <row r="21" spans="1:14" ht="18" thickBot="1" x14ac:dyDescent="0.3">
      <c r="A21" s="19"/>
      <c r="B21" s="29" t="s">
        <v>74</v>
      </c>
      <c r="C21" s="21"/>
      <c r="D21" s="21"/>
      <c r="E21" s="21"/>
      <c r="F21" s="21"/>
      <c r="G21" s="21"/>
      <c r="H21" s="21"/>
      <c r="I21" s="40">
        <f>SUM(tblclientesdevedores[[1º Trimestre]:[4º Trimestre]])</f>
        <v>219531046</v>
      </c>
      <c r="J21" s="41"/>
      <c r="K21" s="21"/>
      <c r="L21" s="21"/>
      <c r="M21" s="21"/>
      <c r="N21" s="21"/>
    </row>
    <row r="22" spans="1:14" x14ac:dyDescent="0.25">
      <c r="B22" s="30"/>
    </row>
  </sheetData>
  <mergeCells count="4">
    <mergeCell ref="H3:N3"/>
    <mergeCell ref="E19:G19"/>
    <mergeCell ref="C20:D20"/>
    <mergeCell ref="I21:J2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Desafio 01</vt:lpstr>
      <vt:lpstr>Desafio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Lucas S. da Luz</dc:creator>
  <cp:lastModifiedBy>RICARDO LEITE DA SILVA ROCHA</cp:lastModifiedBy>
  <dcterms:created xsi:type="dcterms:W3CDTF">2025-11-10T23:10:10Z</dcterms:created>
  <dcterms:modified xsi:type="dcterms:W3CDTF">2025-11-11T00:09:46Z</dcterms:modified>
</cp:coreProperties>
</file>