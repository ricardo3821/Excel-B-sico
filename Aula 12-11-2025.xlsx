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slicers/slicer1.xml" ContentType="application/vnd.ms-excel.slicer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338739409\Desktop\Excel Basico\"/>
    </mc:Choice>
  </mc:AlternateContent>
  <xr:revisionPtr revIDLastSave="0" documentId="13_ncr:1_{1799E018-21EF-490F-B654-C21B5F7E078E}" xr6:coauthVersionLast="36" xr6:coauthVersionMax="47" xr10:uidLastSave="{00000000-0000-0000-0000-000000000000}"/>
  <bookViews>
    <workbookView xWindow="0" yWindow="0" windowWidth="20490" windowHeight="7545" firstSheet="3" activeTab="6" xr2:uid="{B1CD34E5-02E0-469D-98BE-8CCFBFB1CD56}"/>
  </bookViews>
  <sheets>
    <sheet name="Função Hoje" sheetId="1" r:id="rId1"/>
    <sheet name="Função Agora" sheetId="2" r:id="rId2"/>
    <sheet name="Hora | Minuto | Segundo" sheetId="3" r:id="rId3"/>
    <sheet name="Dia | Mês | Ano" sheetId="4" r:id="rId4"/>
    <sheet name="Função Data" sheetId="5" r:id="rId5"/>
    <sheet name="Desafio Mês" sheetId="6" r:id="rId6"/>
    <sheet name="Desafio Dia" sheetId="7" r:id="rId7"/>
    <sheet name="Desafio Ano" sheetId="8" r:id="rId8"/>
  </sheets>
  <definedNames>
    <definedName name="SegmentaçãodeDados_Mês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9"/>
      </x15:slicerCaches>
    </ex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8" l="1"/>
  <c r="F6" i="8"/>
  <c r="F7" i="8"/>
  <c r="F8" i="8"/>
  <c r="F9" i="8"/>
  <c r="F10" i="8"/>
  <c r="F4" i="8"/>
  <c r="E5" i="8"/>
  <c r="E6" i="8"/>
  <c r="E7" i="8"/>
  <c r="E8" i="8"/>
  <c r="E9" i="8"/>
  <c r="E10" i="8"/>
  <c r="E4" i="8"/>
  <c r="F4" i="7"/>
  <c r="F5" i="7"/>
  <c r="F6" i="7"/>
  <c r="F7" i="7"/>
  <c r="F8" i="7"/>
  <c r="F9" i="7"/>
  <c r="F3" i="7"/>
  <c r="E4" i="7"/>
  <c r="E5" i="7"/>
  <c r="E6" i="7"/>
  <c r="E7" i="7"/>
  <c r="E8" i="7"/>
  <c r="E9" i="7"/>
  <c r="E3" i="7"/>
  <c r="D5" i="6"/>
  <c r="D6" i="6"/>
  <c r="D7" i="6"/>
  <c r="D8" i="6"/>
  <c r="D9" i="6"/>
  <c r="D10" i="6"/>
  <c r="D4" i="6"/>
  <c r="C5" i="6"/>
  <c r="C6" i="6"/>
  <c r="C7" i="6"/>
  <c r="C8" i="6"/>
  <c r="C9" i="6"/>
  <c r="C10" i="6"/>
  <c r="C4" i="6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4" i="5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B13" i="2"/>
  <c r="B10" i="2"/>
  <c r="B7" i="2"/>
  <c r="B4" i="2"/>
  <c r="H7" i="1"/>
  <c r="H8" i="1"/>
  <c r="H9" i="1"/>
  <c r="H10" i="1"/>
  <c r="H11" i="1"/>
  <c r="H12" i="1"/>
  <c r="H13" i="1"/>
  <c r="H14" i="1"/>
  <c r="B6" i="1"/>
  <c r="B5" i="1"/>
  <c r="B4" i="1"/>
  <c r="B3" i="1"/>
</calcChain>
</file>

<file path=xl/sharedStrings.xml><?xml version="1.0" encoding="utf-8"?>
<sst xmlns="http://schemas.openxmlformats.org/spreadsheetml/2006/main" count="126" uniqueCount="77">
  <si>
    <t>Função Hoje</t>
  </si>
  <si>
    <t>Hoje</t>
  </si>
  <si>
    <t>Hoje + 30</t>
  </si>
  <si>
    <t>Hoje + 60</t>
  </si>
  <si>
    <t>Hoje + 90</t>
  </si>
  <si>
    <t>Colaborador</t>
  </si>
  <si>
    <t>Departamento</t>
  </si>
  <si>
    <t>Contratação</t>
  </si>
  <si>
    <t>Tempo de Trabalho</t>
  </si>
  <si>
    <t>Arthur Lucas</t>
  </si>
  <si>
    <t>Criatividade</t>
  </si>
  <si>
    <t>Carmen Oliveira</t>
  </si>
  <si>
    <t>Solidariedade</t>
  </si>
  <si>
    <t>Davi Sotero</t>
  </si>
  <si>
    <t>Eduardo Yto</t>
  </si>
  <si>
    <t>Domínio</t>
  </si>
  <si>
    <t>Luzinete Lima</t>
  </si>
  <si>
    <t>Educação</t>
  </si>
  <si>
    <t>Tállia Larissa</t>
  </si>
  <si>
    <t>Thiago Hiroshi</t>
  </si>
  <si>
    <t>Victor Yto</t>
  </si>
  <si>
    <t>=AGORA()</t>
  </si>
  <si>
    <t>Função Agora + 15</t>
  </si>
  <si>
    <t>Função Agora + 30</t>
  </si>
  <si>
    <t>Função Agora + 60</t>
  </si>
  <si>
    <t>Função Agora + 120</t>
  </si>
  <si>
    <t>Clientes</t>
  </si>
  <si>
    <t>Data de Nascimento</t>
  </si>
  <si>
    <t>Hora</t>
  </si>
  <si>
    <t>Minuto</t>
  </si>
  <si>
    <t>Segundo</t>
  </si>
  <si>
    <t>Eduardo</t>
  </si>
  <si>
    <t>Alice</t>
  </si>
  <si>
    <t>Maria</t>
  </si>
  <si>
    <t>Clarice</t>
  </si>
  <si>
    <t>Camilo</t>
  </si>
  <si>
    <t>Carla</t>
  </si>
  <si>
    <t>Sidney</t>
  </si>
  <si>
    <t>Claudia</t>
  </si>
  <si>
    <t>Elaine</t>
  </si>
  <si>
    <t>Estela</t>
  </si>
  <si>
    <t>João</t>
  </si>
  <si>
    <t>Jonatas</t>
  </si>
  <si>
    <t>Getúlio</t>
  </si>
  <si>
    <t>Gustavo</t>
  </si>
  <si>
    <t>Heleno</t>
  </si>
  <si>
    <t>Dia</t>
  </si>
  <si>
    <t>Mês</t>
  </si>
  <si>
    <t>Ano</t>
  </si>
  <si>
    <t>Aniversáriantes</t>
  </si>
  <si>
    <t>Resultado</t>
  </si>
  <si>
    <t>Aniversário</t>
  </si>
  <si>
    <t>Mês por Extenso</t>
  </si>
  <si>
    <t>Arthur Guimarães</t>
  </si>
  <si>
    <t>Tallia Larissa</t>
  </si>
  <si>
    <t>Victor Shunsuke</t>
  </si>
  <si>
    <t>Despesa</t>
  </si>
  <si>
    <t>Vencimento</t>
  </si>
  <si>
    <t>Valor</t>
  </si>
  <si>
    <t>Informação por extenso</t>
  </si>
  <si>
    <t>Água</t>
  </si>
  <si>
    <t>Aluguel Escritório</t>
  </si>
  <si>
    <t>Carro</t>
  </si>
  <si>
    <t>Cartão</t>
  </si>
  <si>
    <t>Faculdade</t>
  </si>
  <si>
    <t>Luz</t>
  </si>
  <si>
    <t>Telefone</t>
  </si>
  <si>
    <t>Nº Pedido</t>
  </si>
  <si>
    <t>Produto</t>
  </si>
  <si>
    <t>Data do Pedido</t>
  </si>
  <si>
    <t>Camisas</t>
  </si>
  <si>
    <t>Meias</t>
  </si>
  <si>
    <t>Calças</t>
  </si>
  <si>
    <t>Bonés</t>
  </si>
  <si>
    <t>Tênis</t>
  </si>
  <si>
    <t>Sapatos</t>
  </si>
  <si>
    <t>Gravatas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</si>
</sst>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164" formatCode="ddd\ dd/mm/yyyy\ hh:mm"/>
    <numFmt numFmtId="165" formatCode="ddd\ dd/mm/yyyy\ hh:mm:ss"/>
    <numFmt numFmtId="166" formatCode="&quot;NP&quot;\ 000"/>
    <numFmt numFmtId="169" formatCode="0000\ &quot;Dias&quot;"/>
    <numFmt numFmtId="171" formatCode="mmmm"/>
    <numFmt numFmtId="172" formatCode="&quot;A conta vence na data&quot;\ dd/mm/yyyy"/>
    <numFmt numFmtId="173" formatCode="&quot; Esse Produto Teve Seu Pedido &quot;\ dd/mm/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theme="0"/>
      </left>
      <right style="thin">
        <color theme="7" tint="0.39997558519241921"/>
      </right>
      <top style="medium">
        <color theme="0"/>
      </top>
      <bottom/>
      <diagonal/>
    </border>
    <border>
      <left style="thin">
        <color theme="7" tint="0.39997558519241921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2">
    <xf numFmtId="0" fontId="0" fillId="0" borderId="0" xfId="0"/>
    <xf numFmtId="0" fontId="4" fillId="3" borderId="3" xfId="0" applyFont="1" applyFill="1" applyBorder="1" applyAlignment="1">
      <alignment vertical="center"/>
    </xf>
    <xf numFmtId="14" fontId="4" fillId="3" borderId="4" xfId="0" applyNumberFormat="1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14" fontId="4" fillId="3" borderId="6" xfId="0" applyNumberFormat="1" applyFont="1" applyFill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horizontal="center" vertical="center"/>
    </xf>
    <xf numFmtId="164" fontId="8" fillId="0" borderId="0" xfId="0" applyNumberFormat="1" applyFont="1"/>
    <xf numFmtId="165" fontId="9" fillId="0" borderId="0" xfId="0" applyNumberFormat="1" applyFont="1"/>
    <xf numFmtId="0" fontId="10" fillId="0" borderId="0" xfId="0" applyFont="1"/>
    <xf numFmtId="0" fontId="2" fillId="5" borderId="0" xfId="0" applyFont="1" applyFill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164" fontId="8" fillId="6" borderId="14" xfId="0" applyNumberFormat="1" applyFont="1" applyFill="1" applyBorder="1"/>
    <xf numFmtId="0" fontId="0" fillId="6" borderId="15" xfId="0" applyFill="1" applyBorder="1"/>
    <xf numFmtId="164" fontId="8" fillId="7" borderId="16" xfId="0" applyNumberFormat="1" applyFont="1" applyFill="1" applyBorder="1"/>
    <xf numFmtId="0" fontId="0" fillId="7" borderId="8" xfId="0" applyFill="1" applyBorder="1"/>
    <xf numFmtId="164" fontId="8" fillId="6" borderId="16" xfId="0" applyNumberFormat="1" applyFont="1" applyFill="1" applyBorder="1"/>
    <xf numFmtId="0" fontId="0" fillId="6" borderId="8" xfId="0" applyFill="1" applyBorder="1"/>
    <xf numFmtId="1" fontId="0" fillId="6" borderId="8" xfId="0" applyNumberFormat="1" applyFill="1" applyBorder="1"/>
    <xf numFmtId="0" fontId="0" fillId="6" borderId="14" xfId="0" applyFill="1" applyBorder="1" applyAlignment="1">
      <alignment horizontal="center" vertical="center"/>
    </xf>
    <xf numFmtId="14" fontId="0" fillId="6" borderId="15" xfId="0" applyNumberFormat="1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14" fontId="0" fillId="7" borderId="8" xfId="0" applyNumberFormat="1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14" fontId="0" fillId="6" borderId="8" xfId="0" applyNumberForma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5" xfId="0" applyNumberFormat="1" applyFill="1" applyBorder="1" applyAlignment="1">
      <alignment horizontal="center" vertical="center"/>
    </xf>
    <xf numFmtId="0" fontId="2" fillId="5" borderId="0" xfId="0" applyFont="1" applyFill="1"/>
    <xf numFmtId="0" fontId="2" fillId="5" borderId="13" xfId="0" applyFont="1" applyFill="1" applyBorder="1"/>
    <xf numFmtId="0" fontId="0" fillId="6" borderId="14" xfId="0" applyFill="1" applyBorder="1"/>
    <xf numFmtId="14" fontId="0" fillId="6" borderId="15" xfId="0" applyNumberFormat="1" applyFill="1" applyBorder="1"/>
    <xf numFmtId="44" fontId="0" fillId="6" borderId="15" xfId="1" applyFont="1" applyFill="1" applyBorder="1"/>
    <xf numFmtId="0" fontId="0" fillId="6" borderId="15" xfId="0" applyFill="1" applyBorder="1" applyAlignment="1">
      <alignment horizontal="center"/>
    </xf>
    <xf numFmtId="0" fontId="0" fillId="7" borderId="16" xfId="0" applyFill="1" applyBorder="1"/>
    <xf numFmtId="14" fontId="0" fillId="7" borderId="8" xfId="0" applyNumberFormat="1" applyFill="1" applyBorder="1"/>
    <xf numFmtId="44" fontId="0" fillId="7" borderId="8" xfId="1" applyFont="1" applyFill="1" applyBorder="1"/>
    <xf numFmtId="0" fontId="0" fillId="6" borderId="16" xfId="0" applyFill="1" applyBorder="1"/>
    <xf numFmtId="14" fontId="0" fillId="6" borderId="8" xfId="0" applyNumberFormat="1" applyFill="1" applyBorder="1"/>
    <xf numFmtId="44" fontId="0" fillId="6" borderId="8" xfId="1" applyFont="1" applyFill="1" applyBorder="1"/>
    <xf numFmtId="166" fontId="0" fillId="6" borderId="14" xfId="0" applyNumberFormat="1" applyFill="1" applyBorder="1" applyAlignment="1">
      <alignment horizontal="center" vertical="center"/>
    </xf>
    <xf numFmtId="166" fontId="0" fillId="7" borderId="16" xfId="0" applyNumberFormat="1" applyFill="1" applyBorder="1" applyAlignment="1">
      <alignment horizontal="center" vertical="center"/>
    </xf>
    <xf numFmtId="166" fontId="0" fillId="6" borderId="16" xfId="0" applyNumberFormat="1" applyFill="1" applyBorder="1" applyAlignment="1">
      <alignment horizontal="center" vertical="center"/>
    </xf>
    <xf numFmtId="0" fontId="10" fillId="0" borderId="0" xfId="0" applyNumberFormat="1" applyFont="1"/>
    <xf numFmtId="0" fontId="7" fillId="4" borderId="9" xfId="0" quotePrefix="1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169" fontId="6" fillId="0" borderId="0" xfId="0" applyNumberFormat="1" applyFont="1" applyAlignment="1">
      <alignment horizontal="center" vertical="center"/>
    </xf>
    <xf numFmtId="169" fontId="0" fillId="0" borderId="0" xfId="0" applyNumberFormat="1" applyAlignment="1">
      <alignment horizontal="center"/>
    </xf>
    <xf numFmtId="22" fontId="0" fillId="0" borderId="9" xfId="0" applyNumberFormat="1" applyBorder="1" applyAlignment="1">
      <alignment horizontal="center" vertical="center"/>
    </xf>
    <xf numFmtId="14" fontId="0" fillId="6" borderId="7" xfId="0" applyNumberFormat="1" applyFill="1" applyBorder="1" applyAlignment="1">
      <alignment horizontal="center"/>
    </xf>
    <xf numFmtId="171" fontId="0" fillId="6" borderId="15" xfId="0" applyNumberFormat="1" applyFill="1" applyBorder="1" applyAlignment="1">
      <alignment horizontal="center" vertical="center"/>
    </xf>
    <xf numFmtId="172" fontId="0" fillId="0" borderId="0" xfId="0" applyNumberFormat="1"/>
    <xf numFmtId="173" fontId="0" fillId="0" borderId="0" xfId="0" applyNumberFormat="1" applyAlignment="1">
      <alignment horizontal="center"/>
    </xf>
  </cellXfs>
  <cellStyles count="2">
    <cellStyle name="Moeda" xfId="1" builtinId="4"/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0000\ &quot;Dias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ddd\ dd/mm/yyyy\ hh:mm:ss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ddd\ dd/mm/yyyy\ hh:mm"/>
      <fill>
        <patternFill patternType="none">
          <fgColor indexed="64"/>
          <bgColor indexed="65"/>
        </patternFill>
      </fill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ddd\ dd/mm/yyyy\ hh:mm:ss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ddd\ dd/mm/yyyy\ hh:mm"/>
      <fill>
        <patternFill patternType="none">
          <fgColor indexed="64"/>
          <bgColor indexed="65"/>
        </patternFill>
      </fill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525780</xdr:colOff>
      <xdr:row>0</xdr:row>
      <xdr:rowOff>38100</xdr:rowOff>
    </xdr:from>
    <xdr:to>
      <xdr:col>8</xdr:col>
      <xdr:colOff>86814</xdr:colOff>
      <xdr:row>4</xdr:row>
      <xdr:rowOff>114230</xdr:rowOff>
    </xdr:to>
    <xdr:sp macro="" textlink="">
      <xdr:nvSpPr>
        <xdr:cNvPr id="5" name="Plano de Fundo" descr="Plano de Fundo">
          <a:extLst>
            <a:ext uri="{FF2B5EF4-FFF2-40B4-BE49-F238E27FC236}">
              <a16:creationId xmlns:a16="http://schemas.microsoft.com/office/drawing/2014/main" id="{FFAA51AA-9AD5-4432-B294-F398403FEA5A}"/>
            </a:ext>
          </a:extLst>
        </xdr:cNvPr>
        <xdr:cNvSpPr/>
      </xdr:nvSpPr>
      <xdr:spPr>
        <a:xfrm>
          <a:off x="3360420" y="38100"/>
          <a:ext cx="5321754" cy="102101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0"/>
          <a:endParaRPr lang="en-US" sz="1100"/>
        </a:p>
      </xdr:txBody>
    </xdr:sp>
    <xdr:clientData/>
  </xdr:twoCellAnchor>
  <xdr:twoCellAnchor>
    <xdr:from>
      <xdr:col>4</xdr:col>
      <xdr:colOff>252655</xdr:colOff>
      <xdr:row>0</xdr:row>
      <xdr:rowOff>111963</xdr:rowOff>
    </xdr:from>
    <xdr:to>
      <xdr:col>7</xdr:col>
      <xdr:colOff>1146150</xdr:colOff>
      <xdr:row>1</xdr:row>
      <xdr:rowOff>253779</xdr:rowOff>
    </xdr:to>
    <xdr:sp macro="" textlink="">
      <xdr:nvSpPr>
        <xdr:cNvPr id="6" name="Etapa" descr="Noções básicas: fazer cálculos no Excel&#10;">
          <a:extLst>
            <a:ext uri="{FF2B5EF4-FFF2-40B4-BE49-F238E27FC236}">
              <a16:creationId xmlns:a16="http://schemas.microsoft.com/office/drawing/2014/main" id="{DE73E85F-22FB-4E95-8173-40A588F11465}"/>
            </a:ext>
          </a:extLst>
        </xdr:cNvPr>
        <xdr:cNvSpPr txBox="1"/>
      </xdr:nvSpPr>
      <xdr:spPr>
        <a:xfrm>
          <a:off x="3696895" y="111963"/>
          <a:ext cx="4406315" cy="3323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Nesta atividade</a:t>
          </a:r>
          <a:endParaRPr kumimoji="0" lang="en-US" sz="2200" b="1" i="1" u="none" strike="noStrike" kern="0" cap="none" spc="0" normalizeH="0" baseline="0">
            <a:ln>
              <a:noFill/>
            </a:ln>
            <a:solidFill>
              <a:schemeClr val="bg2">
                <a:lumMod val="25000"/>
              </a:schemeClr>
            </a:solidFill>
            <a:effectLst/>
            <a:uLnTx/>
            <a:uFillTx/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4</xdr:col>
      <xdr:colOff>235404</xdr:colOff>
      <xdr:row>2</xdr:row>
      <xdr:rowOff>58288</xdr:rowOff>
    </xdr:from>
    <xdr:to>
      <xdr:col>7</xdr:col>
      <xdr:colOff>1087013</xdr:colOff>
      <xdr:row>2</xdr:row>
      <xdr:rowOff>58288</xdr:rowOff>
    </xdr:to>
    <xdr:cxnSp macro="">
      <xdr:nvCxnSpPr>
        <xdr:cNvPr id="7" name="Linha superior" descr="Linha decorativa">
          <a:extLst>
            <a:ext uri="{FF2B5EF4-FFF2-40B4-BE49-F238E27FC236}">
              <a16:creationId xmlns:a16="http://schemas.microsoft.com/office/drawing/2014/main" id="{5DB9C5FF-552F-49F4-AC00-D0B796D9174A}"/>
            </a:ext>
          </a:extLst>
        </xdr:cNvPr>
        <xdr:cNvCxnSpPr>
          <a:cxnSpLocks/>
        </xdr:cNvCxnSpPr>
      </xdr:nvCxnSpPr>
      <xdr:spPr>
        <a:xfrm>
          <a:off x="3679644" y="545968"/>
          <a:ext cx="4364429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114880</xdr:colOff>
      <xdr:row>2</xdr:row>
      <xdr:rowOff>140678</xdr:rowOff>
    </xdr:from>
    <xdr:to>
      <xdr:col>7</xdr:col>
      <xdr:colOff>1589406</xdr:colOff>
      <xdr:row>3</xdr:row>
      <xdr:rowOff>174402</xdr:rowOff>
    </xdr:to>
    <xdr:sp macro="" textlink="">
      <xdr:nvSpPr>
        <xdr:cNvPr id="8" name="txt_Etapa" descr="Você pode somar, subtrair, multiplicar e dividir no Excel sem usar as funções internas. Basta usar os operadores +, -, * e /. Todas as fórmulas começam com um sinal de igual (=).">
          <a:extLst>
            <a:ext uri="{FF2B5EF4-FFF2-40B4-BE49-F238E27FC236}">
              <a16:creationId xmlns:a16="http://schemas.microsoft.com/office/drawing/2014/main" id="{3BCA7121-7FCB-4129-B5C8-C0EF498DC159}"/>
            </a:ext>
          </a:extLst>
        </xdr:cNvPr>
        <xdr:cNvSpPr txBox="1"/>
      </xdr:nvSpPr>
      <xdr:spPr>
        <a:xfrm>
          <a:off x="3559120" y="628358"/>
          <a:ext cx="4987346" cy="262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u="none" strike="noStrike" kern="1200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Calcular o tempo de trabalho dos funcionários.</a:t>
          </a:r>
          <a:endParaRPr kumimoji="0" lang="en-US" sz="11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12</xdr:col>
      <xdr:colOff>241190</xdr:colOff>
      <xdr:row>6</xdr:row>
      <xdr:rowOff>160837</xdr:rowOff>
    </xdr:to>
    <xdr:sp macro="" textlink="">
      <xdr:nvSpPr>
        <xdr:cNvPr id="2" name="Plano de Fundo" descr="Plano de Fundo">
          <a:extLst>
            <a:ext uri="{FF2B5EF4-FFF2-40B4-BE49-F238E27FC236}">
              <a16:creationId xmlns:a16="http://schemas.microsoft.com/office/drawing/2014/main" id="{236C551C-CEFC-41FD-9FDD-9493B3C9F7D9}"/>
            </a:ext>
          </a:extLst>
        </xdr:cNvPr>
        <xdr:cNvSpPr/>
      </xdr:nvSpPr>
      <xdr:spPr>
        <a:xfrm>
          <a:off x="3078480" y="365760"/>
          <a:ext cx="5300870" cy="1006657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0"/>
          <a:endParaRPr lang="en-US" sz="1100"/>
        </a:p>
      </xdr:txBody>
    </xdr:sp>
    <xdr:clientData/>
  </xdr:twoCellAnchor>
  <xdr:twoCellAnchor>
    <xdr:from>
      <xdr:col>4</xdr:col>
      <xdr:colOff>330341</xdr:colOff>
      <xdr:row>2</xdr:row>
      <xdr:rowOff>81503</xdr:rowOff>
    </xdr:from>
    <xdr:to>
      <xdr:col>11</xdr:col>
      <xdr:colOff>229106</xdr:colOff>
      <xdr:row>3</xdr:row>
      <xdr:rowOff>151011</xdr:rowOff>
    </xdr:to>
    <xdr:sp macro="" textlink="">
      <xdr:nvSpPr>
        <xdr:cNvPr id="3" name="Etapa" descr="Noções básicas: fazer cálculos no Excel&#10;">
          <a:extLst>
            <a:ext uri="{FF2B5EF4-FFF2-40B4-BE49-F238E27FC236}">
              <a16:creationId xmlns:a16="http://schemas.microsoft.com/office/drawing/2014/main" id="{96FB63AC-446C-478F-8E10-1186574D173D}"/>
            </a:ext>
          </a:extLst>
        </xdr:cNvPr>
        <xdr:cNvSpPr txBox="1"/>
      </xdr:nvSpPr>
      <xdr:spPr>
        <a:xfrm>
          <a:off x="3408821" y="447263"/>
          <a:ext cx="4325985" cy="3666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Nesta atividade</a:t>
          </a:r>
          <a:endParaRPr kumimoji="0" lang="en-US" sz="2200" b="1" i="1" u="none" strike="noStrike" kern="0" cap="none" spc="0" normalizeH="0" baseline="0">
            <a:ln>
              <a:noFill/>
            </a:ln>
            <a:solidFill>
              <a:schemeClr val="bg2">
                <a:lumMod val="25000"/>
              </a:schemeClr>
            </a:solidFill>
            <a:effectLst/>
            <a:uLnTx/>
            <a:uFillTx/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4</xdr:col>
      <xdr:colOff>313404</xdr:colOff>
      <xdr:row>4</xdr:row>
      <xdr:rowOff>80337</xdr:rowOff>
    </xdr:from>
    <xdr:to>
      <xdr:col>11</xdr:col>
      <xdr:colOff>171046</xdr:colOff>
      <xdr:row>4</xdr:row>
      <xdr:rowOff>80337</xdr:rowOff>
    </xdr:to>
    <xdr:cxnSp macro="">
      <xdr:nvCxnSpPr>
        <xdr:cNvPr id="4" name="Linha superior" descr="Linha decorativa">
          <a:extLst>
            <a:ext uri="{FF2B5EF4-FFF2-40B4-BE49-F238E27FC236}">
              <a16:creationId xmlns:a16="http://schemas.microsoft.com/office/drawing/2014/main" id="{58821FF6-CD4E-4CBA-B65C-5D78B838990E}"/>
            </a:ext>
          </a:extLst>
        </xdr:cNvPr>
        <xdr:cNvCxnSpPr>
          <a:cxnSpLocks/>
        </xdr:cNvCxnSpPr>
      </xdr:nvCxnSpPr>
      <xdr:spPr>
        <a:xfrm>
          <a:off x="3391884" y="926157"/>
          <a:ext cx="4284862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195078</xdr:colOff>
      <xdr:row>4</xdr:row>
      <xdr:rowOff>171249</xdr:rowOff>
    </xdr:from>
    <xdr:to>
      <xdr:col>12</xdr:col>
      <xdr:colOff>235292</xdr:colOff>
      <xdr:row>7</xdr:row>
      <xdr:rowOff>15241</xdr:rowOff>
    </xdr:to>
    <xdr:sp macro="" textlink="">
      <xdr:nvSpPr>
        <xdr:cNvPr id="5" name="txt_Etapa" descr="Você pode somar, subtrair, multiplicar e dividir no Excel sem usar as funções internas. Basta usar os operadores +, -, * e /. Todas as fórmulas começam com um sinal de igual (=).">
          <a:extLst>
            <a:ext uri="{FF2B5EF4-FFF2-40B4-BE49-F238E27FC236}">
              <a16:creationId xmlns:a16="http://schemas.microsoft.com/office/drawing/2014/main" id="{A2E60C92-3938-41C1-9785-F3B2B6636938}"/>
            </a:ext>
          </a:extLst>
        </xdr:cNvPr>
        <xdr:cNvSpPr txBox="1"/>
      </xdr:nvSpPr>
      <xdr:spPr>
        <a:xfrm>
          <a:off x="3273558" y="1017069"/>
          <a:ext cx="5099894" cy="3926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u="none" strike="noStrike" kern="1200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Utilizar a função Agora</a:t>
          </a:r>
          <a:r>
            <a:rPr lang="pt-BR" sz="1100" b="0" i="0" u="none" strike="noStrike" kern="1200" baseline="0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+ 15, 30, 60 e 120 dias respectivamente.</a:t>
          </a:r>
          <a:endParaRPr kumimoji="0" lang="en-US" sz="11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16</xdr:col>
      <xdr:colOff>424070</xdr:colOff>
      <xdr:row>13</xdr:row>
      <xdr:rowOff>5715</xdr:rowOff>
    </xdr:to>
    <xdr:sp macro="" textlink="">
      <xdr:nvSpPr>
        <xdr:cNvPr id="2" name="Plano de Fundo" descr="Plano de Fundo">
          <a:extLst>
            <a:ext uri="{FF2B5EF4-FFF2-40B4-BE49-F238E27FC236}">
              <a16:creationId xmlns:a16="http://schemas.microsoft.com/office/drawing/2014/main" id="{9C012AB4-6E17-4212-B80B-33E27C4A3BFD}"/>
            </a:ext>
          </a:extLst>
        </xdr:cNvPr>
        <xdr:cNvSpPr/>
      </xdr:nvSpPr>
      <xdr:spPr>
        <a:xfrm>
          <a:off x="6530340" y="182880"/>
          <a:ext cx="5300870" cy="2200275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0"/>
          <a:endParaRPr lang="en-US" sz="1100"/>
        </a:p>
      </xdr:txBody>
    </xdr:sp>
    <xdr:clientData/>
  </xdr:twoCellAnchor>
  <xdr:twoCellAnchor>
    <xdr:from>
      <xdr:col>8</xdr:col>
      <xdr:colOff>330341</xdr:colOff>
      <xdr:row>1</xdr:row>
      <xdr:rowOff>83288</xdr:rowOff>
    </xdr:from>
    <xdr:to>
      <xdr:col>15</xdr:col>
      <xdr:colOff>389126</xdr:colOff>
      <xdr:row>3</xdr:row>
      <xdr:rowOff>92245</xdr:rowOff>
    </xdr:to>
    <xdr:sp macro="" textlink="">
      <xdr:nvSpPr>
        <xdr:cNvPr id="3" name="Etapa" descr="Noções básicas: fazer cálculos no Excel&#10;">
          <a:extLst>
            <a:ext uri="{FF2B5EF4-FFF2-40B4-BE49-F238E27FC236}">
              <a16:creationId xmlns:a16="http://schemas.microsoft.com/office/drawing/2014/main" id="{F5C2D6B7-09D9-41C7-9258-BF654E8DD8D6}"/>
            </a:ext>
          </a:extLst>
        </xdr:cNvPr>
        <xdr:cNvSpPr txBox="1"/>
      </xdr:nvSpPr>
      <xdr:spPr>
        <a:xfrm>
          <a:off x="6860681" y="266168"/>
          <a:ext cx="4325985" cy="374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Nesta atividade</a:t>
          </a:r>
          <a:endParaRPr kumimoji="0" lang="en-US" sz="2200" b="1" i="1" u="none" strike="noStrike" kern="0" cap="none" spc="0" normalizeH="0" baseline="0">
            <a:ln>
              <a:noFill/>
            </a:ln>
            <a:solidFill>
              <a:schemeClr val="bg2">
                <a:lumMod val="25000"/>
              </a:schemeClr>
            </a:solidFill>
            <a:effectLst/>
            <a:uLnTx/>
            <a:uFillTx/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8</xdr:col>
      <xdr:colOff>313404</xdr:colOff>
      <xdr:row>4</xdr:row>
      <xdr:rowOff>24028</xdr:rowOff>
    </xdr:from>
    <xdr:to>
      <xdr:col>15</xdr:col>
      <xdr:colOff>331066</xdr:colOff>
      <xdr:row>4</xdr:row>
      <xdr:rowOff>24028</xdr:rowOff>
    </xdr:to>
    <xdr:cxnSp macro="">
      <xdr:nvCxnSpPr>
        <xdr:cNvPr id="4" name="Linha superior" descr="Linha decorativa">
          <a:extLst>
            <a:ext uri="{FF2B5EF4-FFF2-40B4-BE49-F238E27FC236}">
              <a16:creationId xmlns:a16="http://schemas.microsoft.com/office/drawing/2014/main" id="{94E31FDA-7A1A-4EE4-946A-8058A6B4C81A}"/>
            </a:ext>
          </a:extLst>
        </xdr:cNvPr>
        <xdr:cNvCxnSpPr>
          <a:cxnSpLocks/>
        </xdr:cNvCxnSpPr>
      </xdr:nvCxnSpPr>
      <xdr:spPr>
        <a:xfrm>
          <a:off x="6843744" y="755548"/>
          <a:ext cx="4284862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195078</xdr:colOff>
      <xdr:row>4</xdr:row>
      <xdr:rowOff>116930</xdr:rowOff>
    </xdr:from>
    <xdr:to>
      <xdr:col>16</xdr:col>
      <xdr:colOff>418172</xdr:colOff>
      <xdr:row>13</xdr:row>
      <xdr:rowOff>110490</xdr:rowOff>
    </xdr:to>
    <xdr:sp macro="" textlink="">
      <xdr:nvSpPr>
        <xdr:cNvPr id="5" name="txt_Etapa" descr="Você pode somar, subtrair, multiplicar e dividir no Excel sem usar as funções internas. Basta usar os operadores +, -, * e /. Todas as fórmulas começam com um sinal de igual (=).">
          <a:extLst>
            <a:ext uri="{FF2B5EF4-FFF2-40B4-BE49-F238E27FC236}">
              <a16:creationId xmlns:a16="http://schemas.microsoft.com/office/drawing/2014/main" id="{DE89A7CF-FC82-4F6F-A11A-45B54025A0B4}"/>
            </a:ext>
          </a:extLst>
        </xdr:cNvPr>
        <xdr:cNvSpPr txBox="1"/>
      </xdr:nvSpPr>
      <xdr:spPr>
        <a:xfrm>
          <a:off x="6725418" y="848450"/>
          <a:ext cx="5099894" cy="1639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u="none" strike="noStrike" kern="1200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É necessário extrair</a:t>
          </a:r>
          <a:r>
            <a:rPr lang="pt-BR" sz="1100" b="0" i="0" u="none" strike="noStrike" kern="1200" baseline="0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do campo data de nascimento a Hora, Minuto e Segundo.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0" i="0" u="none" strike="noStrike" kern="1200" cap="none" spc="0" normalizeH="0" baseline="0">
            <a:ln>
              <a:noFill/>
            </a:ln>
            <a:solidFill>
              <a:schemeClr val="dk1"/>
            </a:solidFill>
            <a:effectLst/>
            <a:uLnTx/>
            <a:uFillTx/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Utilizaremos as funções: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Hora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Minuto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Segundo</a:t>
          </a:r>
          <a:endParaRPr kumimoji="0" lang="en-US" sz="11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16</xdr:col>
      <xdr:colOff>435793</xdr:colOff>
      <xdr:row>14</xdr:row>
      <xdr:rowOff>5715</xdr:rowOff>
    </xdr:to>
    <xdr:sp macro="" textlink="">
      <xdr:nvSpPr>
        <xdr:cNvPr id="3" name="Plano de Fundo" descr="Plano de Fundo">
          <a:extLst>
            <a:ext uri="{FF2B5EF4-FFF2-40B4-BE49-F238E27FC236}">
              <a16:creationId xmlns:a16="http://schemas.microsoft.com/office/drawing/2014/main" id="{C62D8C7E-451C-43FE-86B5-9FE3A9AF1D92}"/>
            </a:ext>
          </a:extLst>
        </xdr:cNvPr>
        <xdr:cNvSpPr/>
      </xdr:nvSpPr>
      <xdr:spPr>
        <a:xfrm>
          <a:off x="5981700" y="365760"/>
          <a:ext cx="5312593" cy="2200275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0"/>
          <a:endParaRPr lang="en-US" sz="1100"/>
        </a:p>
      </xdr:txBody>
    </xdr:sp>
    <xdr:clientData/>
  </xdr:twoCellAnchor>
  <xdr:twoCellAnchor>
    <xdr:from>
      <xdr:col>8</xdr:col>
      <xdr:colOff>331072</xdr:colOff>
      <xdr:row>2</xdr:row>
      <xdr:rowOff>83288</xdr:rowOff>
    </xdr:from>
    <xdr:to>
      <xdr:col>15</xdr:col>
      <xdr:colOff>399424</xdr:colOff>
      <xdr:row>4</xdr:row>
      <xdr:rowOff>92245</xdr:rowOff>
    </xdr:to>
    <xdr:sp macro="" textlink="">
      <xdr:nvSpPr>
        <xdr:cNvPr id="4" name="Etapa" descr="Noções básicas: fazer cálculos no Excel&#10;">
          <a:extLst>
            <a:ext uri="{FF2B5EF4-FFF2-40B4-BE49-F238E27FC236}">
              <a16:creationId xmlns:a16="http://schemas.microsoft.com/office/drawing/2014/main" id="{EEFAFCC2-B1DB-40F3-BF11-FE01FC934746}"/>
            </a:ext>
          </a:extLst>
        </xdr:cNvPr>
        <xdr:cNvSpPr txBox="1"/>
      </xdr:nvSpPr>
      <xdr:spPr>
        <a:xfrm>
          <a:off x="6312772" y="449048"/>
          <a:ext cx="4335552" cy="374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Nesta atividade</a:t>
          </a:r>
          <a:endParaRPr kumimoji="0" lang="en-US" sz="2200" b="1" i="1" u="none" strike="noStrike" kern="0" cap="none" spc="0" normalizeH="0" baseline="0">
            <a:ln>
              <a:noFill/>
            </a:ln>
            <a:solidFill>
              <a:schemeClr val="bg2">
                <a:lumMod val="25000"/>
              </a:schemeClr>
            </a:solidFill>
            <a:effectLst/>
            <a:uLnTx/>
            <a:uFillTx/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8</xdr:col>
      <xdr:colOff>314097</xdr:colOff>
      <xdr:row>5</xdr:row>
      <xdr:rowOff>24028</xdr:rowOff>
    </xdr:from>
    <xdr:to>
      <xdr:col>15</xdr:col>
      <xdr:colOff>341236</xdr:colOff>
      <xdr:row>5</xdr:row>
      <xdr:rowOff>24028</xdr:rowOff>
    </xdr:to>
    <xdr:cxnSp macro="">
      <xdr:nvCxnSpPr>
        <xdr:cNvPr id="5" name="Linha superior" descr="Linha decorativa">
          <a:extLst>
            <a:ext uri="{FF2B5EF4-FFF2-40B4-BE49-F238E27FC236}">
              <a16:creationId xmlns:a16="http://schemas.microsoft.com/office/drawing/2014/main" id="{CFEF88DD-DB32-4F26-B8A9-64C58A5361B5}"/>
            </a:ext>
          </a:extLst>
        </xdr:cNvPr>
        <xdr:cNvCxnSpPr>
          <a:cxnSpLocks/>
        </xdr:cNvCxnSpPr>
      </xdr:nvCxnSpPr>
      <xdr:spPr>
        <a:xfrm>
          <a:off x="6295797" y="938428"/>
          <a:ext cx="4294339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195509</xdr:colOff>
      <xdr:row>5</xdr:row>
      <xdr:rowOff>116929</xdr:rowOff>
    </xdr:from>
    <xdr:to>
      <xdr:col>16</xdr:col>
      <xdr:colOff>429882</xdr:colOff>
      <xdr:row>15</xdr:row>
      <xdr:rowOff>28574</xdr:rowOff>
    </xdr:to>
    <xdr:sp macro="" textlink="">
      <xdr:nvSpPr>
        <xdr:cNvPr id="6" name="txt_Etapa" descr="Você pode somar, subtrair, multiplicar e dividir no Excel sem usar as funções internas. Basta usar os operadores +, -, * e /. Todas as fórmulas começam com um sinal de igual (=).">
          <a:extLst>
            <a:ext uri="{FF2B5EF4-FFF2-40B4-BE49-F238E27FC236}">
              <a16:creationId xmlns:a16="http://schemas.microsoft.com/office/drawing/2014/main" id="{832031C4-86FF-4512-84A6-41622733D4E3}"/>
            </a:ext>
          </a:extLst>
        </xdr:cNvPr>
        <xdr:cNvSpPr txBox="1"/>
      </xdr:nvSpPr>
      <xdr:spPr>
        <a:xfrm>
          <a:off x="6081959" y="1069429"/>
          <a:ext cx="5111173" cy="1816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u="none" strike="noStrike" kern="1200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Será necessário</a:t>
          </a:r>
          <a:r>
            <a:rPr lang="pt-BR" sz="1100" b="0" i="0" u="none" strike="noStrike" kern="1200" baseline="0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extrar o Dia, Mês e Ano do campo Data de Nascimento.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0" i="0" u="none" strike="noStrike" kern="1200" cap="none" spc="0" normalizeH="0" baseline="0">
            <a:ln>
              <a:noFill/>
            </a:ln>
            <a:solidFill>
              <a:schemeClr val="dk1"/>
            </a:solidFill>
            <a:effectLst/>
            <a:uLnTx/>
            <a:uFillTx/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Utilizaremos as funções: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Dia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Mês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Ano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0" i="0" u="none" strike="noStrike" kern="1200" cap="none" spc="0" normalizeH="0" baseline="0">
            <a:ln>
              <a:noFill/>
            </a:ln>
            <a:solidFill>
              <a:schemeClr val="dk1"/>
            </a:solidFill>
            <a:effectLst/>
            <a:uLnTx/>
            <a:uFillTx/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0" i="0" u="none" strike="noStrike" kern="1200" cap="none" spc="0" normalizeH="0" baseline="0">
            <a:ln>
              <a:noFill/>
            </a:ln>
            <a:solidFill>
              <a:schemeClr val="dk1"/>
            </a:solidFill>
            <a:effectLst/>
            <a:uLnTx/>
            <a:uFillTx/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          Segmentação </a:t>
          </a:r>
          <a:r>
            <a:rPr kumimoji="0" lang="pt-BR" sz="1400" b="1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=&gt;</a:t>
          </a:r>
          <a:endParaRPr kumimoji="0" lang="en-US" sz="1100" b="1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14</xdr:col>
      <xdr:colOff>9525</xdr:colOff>
      <xdr:row>11</xdr:row>
      <xdr:rowOff>0</xdr:rowOff>
    </xdr:from>
    <xdr:to>
      <xdr:col>16</xdr:col>
      <xdr:colOff>438150</xdr:colOff>
      <xdr:row>22</xdr:row>
      <xdr:rowOff>95250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Mês">
              <a:extLst>
                <a:ext uri="{FF2B5EF4-FFF2-40B4-BE49-F238E27FC236}">
                  <a16:creationId xmlns:a16="http://schemas.microsoft.com/office/drawing/2014/main" id="{701D5F7A-D0EA-4EA2-B002-E5BC7EBE50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53575" y="2095500"/>
              <a:ext cx="1647825" cy="2190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15</xdr:col>
      <xdr:colOff>435793</xdr:colOff>
      <xdr:row>12</xdr:row>
      <xdr:rowOff>51435</xdr:rowOff>
    </xdr:to>
    <xdr:sp macro="" textlink="">
      <xdr:nvSpPr>
        <xdr:cNvPr id="2" name="Plano de Fundo" descr="Plano de Fundo">
          <a:extLst>
            <a:ext uri="{FF2B5EF4-FFF2-40B4-BE49-F238E27FC236}">
              <a16:creationId xmlns:a16="http://schemas.microsoft.com/office/drawing/2014/main" id="{13D6E7BA-7C28-419E-BA99-B28D31F74902}"/>
            </a:ext>
          </a:extLst>
        </xdr:cNvPr>
        <xdr:cNvSpPr/>
      </xdr:nvSpPr>
      <xdr:spPr>
        <a:xfrm>
          <a:off x="3406140" y="190500"/>
          <a:ext cx="5312593" cy="2200275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0"/>
          <a:endParaRPr lang="en-US" sz="1100"/>
        </a:p>
      </xdr:txBody>
    </xdr:sp>
    <xdr:clientData/>
  </xdr:twoCellAnchor>
  <xdr:twoCellAnchor>
    <xdr:from>
      <xdr:col>7</xdr:col>
      <xdr:colOff>331072</xdr:colOff>
      <xdr:row>1</xdr:row>
      <xdr:rowOff>83288</xdr:rowOff>
    </xdr:from>
    <xdr:to>
      <xdr:col>14</xdr:col>
      <xdr:colOff>399424</xdr:colOff>
      <xdr:row>2</xdr:row>
      <xdr:rowOff>153205</xdr:rowOff>
    </xdr:to>
    <xdr:sp macro="" textlink="">
      <xdr:nvSpPr>
        <xdr:cNvPr id="3" name="Etapa" descr="Noções básicas: fazer cálculos no Excel&#10;">
          <a:extLst>
            <a:ext uri="{FF2B5EF4-FFF2-40B4-BE49-F238E27FC236}">
              <a16:creationId xmlns:a16="http://schemas.microsoft.com/office/drawing/2014/main" id="{896B4F5A-D010-4C4D-B4AD-DDB22E7758BD}"/>
            </a:ext>
          </a:extLst>
        </xdr:cNvPr>
        <xdr:cNvSpPr txBox="1"/>
      </xdr:nvSpPr>
      <xdr:spPr>
        <a:xfrm>
          <a:off x="3737212" y="273788"/>
          <a:ext cx="4335552" cy="374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Nesta atividade</a:t>
          </a:r>
          <a:endParaRPr kumimoji="0" lang="en-US" sz="2200" b="1" i="1" u="none" strike="noStrike" kern="0" cap="none" spc="0" normalizeH="0" baseline="0">
            <a:ln>
              <a:noFill/>
            </a:ln>
            <a:solidFill>
              <a:schemeClr val="bg2">
                <a:lumMod val="25000"/>
              </a:schemeClr>
            </a:solidFill>
            <a:effectLst/>
            <a:uLnTx/>
            <a:uFillTx/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7</xdr:col>
      <xdr:colOff>314097</xdr:colOff>
      <xdr:row>3</xdr:row>
      <xdr:rowOff>77368</xdr:rowOff>
    </xdr:from>
    <xdr:to>
      <xdr:col>14</xdr:col>
      <xdr:colOff>341236</xdr:colOff>
      <xdr:row>3</xdr:row>
      <xdr:rowOff>77368</xdr:rowOff>
    </xdr:to>
    <xdr:cxnSp macro="">
      <xdr:nvCxnSpPr>
        <xdr:cNvPr id="4" name="Linha superior" descr="Linha decorativa">
          <a:extLst>
            <a:ext uri="{FF2B5EF4-FFF2-40B4-BE49-F238E27FC236}">
              <a16:creationId xmlns:a16="http://schemas.microsoft.com/office/drawing/2014/main" id="{A58B49DC-FD54-47D1-A557-EEAA7AE2F944}"/>
            </a:ext>
          </a:extLst>
        </xdr:cNvPr>
        <xdr:cNvCxnSpPr>
          <a:cxnSpLocks/>
        </xdr:cNvCxnSpPr>
      </xdr:nvCxnSpPr>
      <xdr:spPr>
        <a:xfrm>
          <a:off x="3720237" y="763168"/>
          <a:ext cx="4294339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195509</xdr:colOff>
      <xdr:row>3</xdr:row>
      <xdr:rowOff>170270</xdr:rowOff>
    </xdr:from>
    <xdr:to>
      <xdr:col>15</xdr:col>
      <xdr:colOff>429882</xdr:colOff>
      <xdr:row>12</xdr:row>
      <xdr:rowOff>156210</xdr:rowOff>
    </xdr:to>
    <xdr:sp macro="" textlink="">
      <xdr:nvSpPr>
        <xdr:cNvPr id="5" name="txt_Etapa" descr="Você pode somar, subtrair, multiplicar e dividir no Excel sem usar as funções internas. Basta usar os operadores +, -, * e /. Todas as fórmulas começam com um sinal de igual (=).">
          <a:extLst>
            <a:ext uri="{FF2B5EF4-FFF2-40B4-BE49-F238E27FC236}">
              <a16:creationId xmlns:a16="http://schemas.microsoft.com/office/drawing/2014/main" id="{EF4C80DD-43D0-4A1A-AB38-F6710B7FC1FB}"/>
            </a:ext>
          </a:extLst>
        </xdr:cNvPr>
        <xdr:cNvSpPr txBox="1"/>
      </xdr:nvSpPr>
      <xdr:spPr>
        <a:xfrm>
          <a:off x="3601649" y="856070"/>
          <a:ext cx="5111173" cy="1639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u="none" strike="noStrike" kern="1200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Nesta atividade a funcionária Luzinete precisa fazer a junção do dia, mês e ano.</a:t>
          </a:r>
          <a:endParaRPr lang="pt-BR" sz="1100" b="0" i="0" u="none" strike="noStrike" kern="1200" baseline="0">
            <a:solidFill>
              <a:schemeClr val="dk1"/>
            </a:solidFill>
            <a:effectLst/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0" i="0" u="none" strike="noStrike" kern="1200" cap="none" spc="0" normalizeH="0" baseline="0">
            <a:ln>
              <a:noFill/>
            </a:ln>
            <a:solidFill>
              <a:schemeClr val="dk1"/>
            </a:solidFill>
            <a:effectLst/>
            <a:uLnTx/>
            <a:uFillTx/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Utilizaremos a função: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Data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0" i="0" u="none" strike="noStrike" kern="1200" cap="none" spc="0" normalizeH="0" baseline="0">
            <a:ln>
              <a:noFill/>
            </a:ln>
            <a:solidFill>
              <a:schemeClr val="dk1"/>
            </a:solidFill>
            <a:effectLst/>
            <a:uLnTx/>
            <a:uFillTx/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Formato americano 1ºAno   2ºMês    3ºDia</a:t>
          </a:r>
          <a:endParaRPr kumimoji="0" lang="en-US" sz="11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13</xdr:col>
      <xdr:colOff>435793</xdr:colOff>
      <xdr:row>13</xdr:row>
      <xdr:rowOff>82435</xdr:rowOff>
    </xdr:to>
    <xdr:sp macro="" textlink="">
      <xdr:nvSpPr>
        <xdr:cNvPr id="2" name="Plano de Fundo" descr="Plano de Fundo">
          <a:extLst>
            <a:ext uri="{FF2B5EF4-FFF2-40B4-BE49-F238E27FC236}">
              <a16:creationId xmlns:a16="http://schemas.microsoft.com/office/drawing/2014/main" id="{D946EFCF-1E36-4D28-B16C-3E6013A2D361}"/>
            </a:ext>
          </a:extLst>
        </xdr:cNvPr>
        <xdr:cNvSpPr/>
      </xdr:nvSpPr>
      <xdr:spPr>
        <a:xfrm>
          <a:off x="3726180" y="365760"/>
          <a:ext cx="5312593" cy="2109355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0"/>
          <a:endParaRPr lang="en-US" sz="1100"/>
        </a:p>
      </xdr:txBody>
    </xdr:sp>
    <xdr:clientData/>
  </xdr:twoCellAnchor>
  <xdr:twoCellAnchor>
    <xdr:from>
      <xdr:col>5</xdr:col>
      <xdr:colOff>331072</xdr:colOff>
      <xdr:row>2</xdr:row>
      <xdr:rowOff>79846</xdr:rowOff>
    </xdr:from>
    <xdr:to>
      <xdr:col>12</xdr:col>
      <xdr:colOff>399424</xdr:colOff>
      <xdr:row>4</xdr:row>
      <xdr:rowOff>58079</xdr:rowOff>
    </xdr:to>
    <xdr:sp macro="" textlink="">
      <xdr:nvSpPr>
        <xdr:cNvPr id="3" name="Etapa" descr="Noções básicas: fazer cálculos no Excel&#10;">
          <a:extLst>
            <a:ext uri="{FF2B5EF4-FFF2-40B4-BE49-F238E27FC236}">
              <a16:creationId xmlns:a16="http://schemas.microsoft.com/office/drawing/2014/main" id="{D52D2E5A-5BE6-4ADC-9556-7FD0B406C8C6}"/>
            </a:ext>
          </a:extLst>
        </xdr:cNvPr>
        <xdr:cNvSpPr txBox="1"/>
      </xdr:nvSpPr>
      <xdr:spPr>
        <a:xfrm>
          <a:off x="4057252" y="445606"/>
          <a:ext cx="4335552" cy="3592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Nesta atividade</a:t>
          </a:r>
          <a:endParaRPr kumimoji="0" lang="en-US" sz="2200" b="1" i="1" u="none" strike="noStrike" kern="0" cap="none" spc="0" normalizeH="0" baseline="0">
            <a:ln>
              <a:noFill/>
            </a:ln>
            <a:solidFill>
              <a:schemeClr val="bg2">
                <a:lumMod val="25000"/>
              </a:schemeClr>
            </a:solidFill>
            <a:effectLst/>
            <a:uLnTx/>
            <a:uFillTx/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5</xdr:col>
      <xdr:colOff>314097</xdr:colOff>
      <xdr:row>4</xdr:row>
      <xdr:rowOff>168004</xdr:rowOff>
    </xdr:from>
    <xdr:to>
      <xdr:col>12</xdr:col>
      <xdr:colOff>341236</xdr:colOff>
      <xdr:row>4</xdr:row>
      <xdr:rowOff>168004</xdr:rowOff>
    </xdr:to>
    <xdr:cxnSp macro="">
      <xdr:nvCxnSpPr>
        <xdr:cNvPr id="4" name="Linha superior" descr="Linha decorativa">
          <a:extLst>
            <a:ext uri="{FF2B5EF4-FFF2-40B4-BE49-F238E27FC236}">
              <a16:creationId xmlns:a16="http://schemas.microsoft.com/office/drawing/2014/main" id="{D8A4C4C8-77F5-44AE-B1AA-9AF15BA7BE22}"/>
            </a:ext>
          </a:extLst>
        </xdr:cNvPr>
        <xdr:cNvCxnSpPr>
          <a:cxnSpLocks/>
        </xdr:cNvCxnSpPr>
      </xdr:nvCxnSpPr>
      <xdr:spPr>
        <a:xfrm>
          <a:off x="4040277" y="914764"/>
          <a:ext cx="4294339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195509</xdr:colOff>
      <xdr:row>5</xdr:row>
      <xdr:rowOff>74187</xdr:rowOff>
    </xdr:from>
    <xdr:to>
      <xdr:col>13</xdr:col>
      <xdr:colOff>429882</xdr:colOff>
      <xdr:row>14</xdr:row>
      <xdr:rowOff>0</xdr:rowOff>
    </xdr:to>
    <xdr:sp macro="" textlink="">
      <xdr:nvSpPr>
        <xdr:cNvPr id="5" name="txt_Etapa" descr="Você pode somar, subtrair, multiplicar e dividir no Excel sem usar as funções internas. Basta usar os operadores +, -, * e /. Todas as fórmulas começam com um sinal de igual (=).">
          <a:extLst>
            <a:ext uri="{FF2B5EF4-FFF2-40B4-BE49-F238E27FC236}">
              <a16:creationId xmlns:a16="http://schemas.microsoft.com/office/drawing/2014/main" id="{34813B7A-3002-4B4A-8F6A-F98762136657}"/>
            </a:ext>
          </a:extLst>
        </xdr:cNvPr>
        <xdr:cNvSpPr txBox="1"/>
      </xdr:nvSpPr>
      <xdr:spPr>
        <a:xfrm>
          <a:off x="3921689" y="1003827"/>
          <a:ext cx="5111173" cy="15717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u="none" strike="noStrike" kern="1200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Qual o mês de aniversário dos colaboradores?</a:t>
          </a:r>
          <a:endParaRPr lang="pt-BR" sz="1100" b="0" i="0" u="none" strike="noStrike" kern="1200" baseline="0">
            <a:solidFill>
              <a:schemeClr val="dk1"/>
            </a:solidFill>
            <a:effectLst/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0" i="0" u="none" strike="noStrike" kern="1200" cap="none" spc="0" normalizeH="0" baseline="0">
            <a:ln>
              <a:noFill/>
            </a:ln>
            <a:solidFill>
              <a:schemeClr val="dk1"/>
            </a:solidFill>
            <a:effectLst/>
            <a:uLnTx/>
            <a:uFillTx/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Utilizaremos a função: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Mês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0" i="0" u="none" strike="noStrike" kern="1200" cap="none" spc="0" normalizeH="0" baseline="0">
            <a:ln>
              <a:noFill/>
            </a:ln>
            <a:solidFill>
              <a:schemeClr val="dk1"/>
            </a:solidFill>
            <a:effectLst/>
            <a:uLnTx/>
            <a:uFillTx/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=Mês com Anivesario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Mês =B4</a:t>
          </a:r>
          <a:endParaRPr kumimoji="0" lang="en-US" sz="11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1</xdr:row>
      <xdr:rowOff>15240</xdr:rowOff>
    </xdr:from>
    <xdr:to>
      <xdr:col>16</xdr:col>
      <xdr:colOff>4970</xdr:colOff>
      <xdr:row>12</xdr:row>
      <xdr:rowOff>99493</xdr:rowOff>
    </xdr:to>
    <xdr:sp macro="" textlink="">
      <xdr:nvSpPr>
        <xdr:cNvPr id="2" name="Plano de Fundo" descr="Plano de Fundo">
          <a:extLst>
            <a:ext uri="{FF2B5EF4-FFF2-40B4-BE49-F238E27FC236}">
              <a16:creationId xmlns:a16="http://schemas.microsoft.com/office/drawing/2014/main" id="{2D06929D-36A1-46B4-9796-8543538FF0E3}"/>
            </a:ext>
          </a:extLst>
        </xdr:cNvPr>
        <xdr:cNvSpPr/>
      </xdr:nvSpPr>
      <xdr:spPr>
        <a:xfrm>
          <a:off x="6545580" y="198120"/>
          <a:ext cx="5300870" cy="2111173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0"/>
          <a:endParaRPr lang="en-US" sz="1100"/>
        </a:p>
      </xdr:txBody>
    </xdr:sp>
    <xdr:clientData/>
  </xdr:twoCellAnchor>
  <xdr:twoCellAnchor>
    <xdr:from>
      <xdr:col>7</xdr:col>
      <xdr:colOff>520841</xdr:colOff>
      <xdr:row>1</xdr:row>
      <xdr:rowOff>95155</xdr:rowOff>
    </xdr:from>
    <xdr:to>
      <xdr:col>14</xdr:col>
      <xdr:colOff>579626</xdr:colOff>
      <xdr:row>3</xdr:row>
      <xdr:rowOff>73698</xdr:rowOff>
    </xdr:to>
    <xdr:sp macro="" textlink="">
      <xdr:nvSpPr>
        <xdr:cNvPr id="3" name="Etapa" descr="Noções básicas: fazer cálculos no Excel&#10;">
          <a:extLst>
            <a:ext uri="{FF2B5EF4-FFF2-40B4-BE49-F238E27FC236}">
              <a16:creationId xmlns:a16="http://schemas.microsoft.com/office/drawing/2014/main" id="{5103533F-2A8A-4E96-BBF4-0A8EF3B1A13D}"/>
            </a:ext>
          </a:extLst>
        </xdr:cNvPr>
        <xdr:cNvSpPr txBox="1"/>
      </xdr:nvSpPr>
      <xdr:spPr>
        <a:xfrm>
          <a:off x="6875921" y="278035"/>
          <a:ext cx="4325985" cy="3595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Nesta atividade</a:t>
          </a:r>
          <a:endParaRPr kumimoji="0" lang="en-US" sz="2200" b="1" i="1" u="none" strike="noStrike" kern="0" cap="none" spc="0" normalizeH="0" baseline="0">
            <a:ln>
              <a:noFill/>
            </a:ln>
            <a:solidFill>
              <a:schemeClr val="bg2">
                <a:lumMod val="25000"/>
              </a:schemeClr>
            </a:solidFill>
            <a:effectLst/>
            <a:uLnTx/>
            <a:uFillTx/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7</xdr:col>
      <xdr:colOff>385578</xdr:colOff>
      <xdr:row>4</xdr:row>
      <xdr:rowOff>89977</xdr:rowOff>
    </xdr:from>
    <xdr:to>
      <xdr:col>15</xdr:col>
      <xdr:colOff>608672</xdr:colOff>
      <xdr:row>13</xdr:row>
      <xdr:rowOff>17145</xdr:rowOff>
    </xdr:to>
    <xdr:sp macro="" textlink="">
      <xdr:nvSpPr>
        <xdr:cNvPr id="4" name="txt_Etapa" descr="Você pode somar, subtrair, multiplicar e dividir no Excel sem usar as funções internas. Basta usar os operadores +, -, * e /. Todas as fórmulas começam com um sinal de igual (=).">
          <a:extLst>
            <a:ext uri="{FF2B5EF4-FFF2-40B4-BE49-F238E27FC236}">
              <a16:creationId xmlns:a16="http://schemas.microsoft.com/office/drawing/2014/main" id="{0C01CA86-1C4B-4068-8E08-4AF61688C564}"/>
            </a:ext>
          </a:extLst>
        </xdr:cNvPr>
        <xdr:cNvSpPr txBox="1"/>
      </xdr:nvSpPr>
      <xdr:spPr>
        <a:xfrm>
          <a:off x="6740658" y="836737"/>
          <a:ext cx="5099894" cy="15730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u="none" strike="noStrike" kern="1200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É necessário extrair</a:t>
          </a:r>
          <a:r>
            <a:rPr lang="pt-BR" sz="1100" b="0" i="0" u="none" strike="noStrike" kern="1200" baseline="0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do campo vencimento o dia.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0" i="0" u="none" strike="noStrike" kern="1200" cap="none" spc="0" normalizeH="0" baseline="0">
            <a:ln>
              <a:noFill/>
            </a:ln>
            <a:solidFill>
              <a:schemeClr val="dk1"/>
            </a:solidFill>
            <a:effectLst/>
            <a:uLnTx/>
            <a:uFillTx/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Utilizaremos a função: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Dia</a:t>
          </a:r>
          <a:endParaRPr kumimoji="0" lang="en-US" sz="11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16</xdr:col>
      <xdr:colOff>447516</xdr:colOff>
      <xdr:row>13</xdr:row>
      <xdr:rowOff>66795</xdr:rowOff>
    </xdr:to>
    <xdr:sp macro="" textlink="">
      <xdr:nvSpPr>
        <xdr:cNvPr id="2" name="Plano de Fundo" descr="Plano de Fundo">
          <a:extLst>
            <a:ext uri="{FF2B5EF4-FFF2-40B4-BE49-F238E27FC236}">
              <a16:creationId xmlns:a16="http://schemas.microsoft.com/office/drawing/2014/main" id="{78B7D0F8-346E-4A21-AE6F-2172599C690E}"/>
            </a:ext>
          </a:extLst>
        </xdr:cNvPr>
        <xdr:cNvSpPr/>
      </xdr:nvSpPr>
      <xdr:spPr>
        <a:xfrm>
          <a:off x="6995160" y="365760"/>
          <a:ext cx="5324316" cy="2093715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0"/>
          <a:endParaRPr lang="en-US" sz="1100"/>
        </a:p>
      </xdr:txBody>
    </xdr:sp>
    <xdr:clientData/>
  </xdr:twoCellAnchor>
  <xdr:twoCellAnchor>
    <xdr:from>
      <xdr:col>8</xdr:col>
      <xdr:colOff>276386</xdr:colOff>
      <xdr:row>2</xdr:row>
      <xdr:rowOff>72325</xdr:rowOff>
    </xdr:from>
    <xdr:to>
      <xdr:col>15</xdr:col>
      <xdr:colOff>354305</xdr:colOff>
      <xdr:row>4</xdr:row>
      <xdr:rowOff>47895</xdr:rowOff>
    </xdr:to>
    <xdr:sp macro="" textlink="">
      <xdr:nvSpPr>
        <xdr:cNvPr id="3" name="Etapa" descr="Noções básicas: fazer cálculos no Excel&#10;">
          <a:extLst>
            <a:ext uri="{FF2B5EF4-FFF2-40B4-BE49-F238E27FC236}">
              <a16:creationId xmlns:a16="http://schemas.microsoft.com/office/drawing/2014/main" id="{8A33F317-562D-416A-AE62-CD383022DBDE}"/>
            </a:ext>
          </a:extLst>
        </xdr:cNvPr>
        <xdr:cNvSpPr txBox="1"/>
      </xdr:nvSpPr>
      <xdr:spPr>
        <a:xfrm>
          <a:off x="7271546" y="438085"/>
          <a:ext cx="4345119" cy="3565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Nesta atividade</a:t>
          </a:r>
          <a:endParaRPr kumimoji="0" lang="en-US" sz="2200" b="1" i="1" u="none" strike="noStrike" kern="0" cap="none" spc="0" normalizeH="0" baseline="0">
            <a:ln>
              <a:noFill/>
            </a:ln>
            <a:solidFill>
              <a:schemeClr val="bg2">
                <a:lumMod val="25000"/>
              </a:schemeClr>
            </a:solidFill>
            <a:effectLst/>
            <a:uLnTx/>
            <a:uFillTx/>
            <a:latin typeface="Segoe UI Light" panose="020B05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8</xdr:col>
      <xdr:colOff>259375</xdr:colOff>
      <xdr:row>4</xdr:row>
      <xdr:rowOff>157004</xdr:rowOff>
    </xdr:from>
    <xdr:to>
      <xdr:col>15</xdr:col>
      <xdr:colOff>295990</xdr:colOff>
      <xdr:row>4</xdr:row>
      <xdr:rowOff>157004</xdr:rowOff>
    </xdr:to>
    <xdr:cxnSp macro="">
      <xdr:nvCxnSpPr>
        <xdr:cNvPr id="4" name="Linha superior" descr="Linha decorativa">
          <a:extLst>
            <a:ext uri="{FF2B5EF4-FFF2-40B4-BE49-F238E27FC236}">
              <a16:creationId xmlns:a16="http://schemas.microsoft.com/office/drawing/2014/main" id="{99892277-F6D0-4E3B-B0A8-DD91018D384D}"/>
            </a:ext>
          </a:extLst>
        </xdr:cNvPr>
        <xdr:cNvCxnSpPr>
          <a:cxnSpLocks/>
        </xdr:cNvCxnSpPr>
      </xdr:nvCxnSpPr>
      <xdr:spPr>
        <a:xfrm>
          <a:off x="7254535" y="903764"/>
          <a:ext cx="4303815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140523</xdr:colOff>
      <xdr:row>5</xdr:row>
      <xdr:rowOff>62527</xdr:rowOff>
    </xdr:from>
    <xdr:to>
      <xdr:col>16</xdr:col>
      <xdr:colOff>386174</xdr:colOff>
      <xdr:row>13</xdr:row>
      <xdr:rowOff>159566</xdr:rowOff>
    </xdr:to>
    <xdr:sp macro="" textlink="">
      <xdr:nvSpPr>
        <xdr:cNvPr id="5" name="txt_Etapa" descr="Você pode somar, subtrair, multiplicar e dividir no Excel sem usar as funções internas. Basta usar os operadores +, -, * e /. Todas as fórmulas começam com um sinal de igual (=).">
          <a:extLst>
            <a:ext uri="{FF2B5EF4-FFF2-40B4-BE49-F238E27FC236}">
              <a16:creationId xmlns:a16="http://schemas.microsoft.com/office/drawing/2014/main" id="{2BD72223-CC92-4A19-9A38-88A237DC3B46}"/>
            </a:ext>
          </a:extLst>
        </xdr:cNvPr>
        <xdr:cNvSpPr txBox="1"/>
      </xdr:nvSpPr>
      <xdr:spPr>
        <a:xfrm>
          <a:off x="7135683" y="992167"/>
          <a:ext cx="5122451" cy="15600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u="none" strike="noStrike" kern="1200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Em</a:t>
          </a:r>
          <a:r>
            <a:rPr lang="pt-BR" sz="1100" b="0" i="0" u="none" strike="noStrike" kern="1200" baseline="0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qual ano o pedido foi feito</a:t>
          </a:r>
          <a:r>
            <a:rPr lang="pt-BR" sz="1100" b="0" i="0" u="none" strike="noStrike" kern="1200">
              <a:solidFill>
                <a:schemeClr val="dk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?</a:t>
          </a:r>
          <a:endParaRPr lang="pt-BR" sz="1100" b="0" i="0" u="none" strike="noStrike" kern="1200" baseline="0">
            <a:solidFill>
              <a:schemeClr val="dk1"/>
            </a:solidFill>
            <a:effectLst/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0" i="0" u="none" strike="noStrike" kern="1200" cap="none" spc="0" normalizeH="0" baseline="0">
            <a:ln>
              <a:noFill/>
            </a:ln>
            <a:solidFill>
              <a:schemeClr val="dk1"/>
            </a:solidFill>
            <a:effectLst/>
            <a:uLnTx/>
            <a:uFillTx/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Utilizaremos a função: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1200" cap="none" spc="0" normalizeH="0" baseline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Ano</a:t>
          </a:r>
          <a:endParaRPr kumimoji="0" lang="en-US" sz="1100" b="0" i="0" u="none" strike="noStrike" kern="0" cap="none" spc="0" normalizeH="0" baseline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236C61CB-B775-4E3B-BE0B-17873CDF35C1}" sourceName="Mês">
  <extLst>
    <x:ext xmlns:x15="http://schemas.microsoft.com/office/spreadsheetml/2010/11/main" uri="{2F2917AC-EB37-4324-AD4E-5DD8C200BD13}">
      <x15:tableSlicerCache tableId="3" column="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6B15CD9E-A7C6-4E7E-920C-4CE6094419B1}" cache="SegmentaçãodeDados_Mês" caption="Mês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8F2913-41BC-4682-918B-5AAC270BE011}" name="Tabela45" displayName="Tabela45" ref="E6:H14" totalsRowShown="0" headerRowDxfId="17" dataDxfId="16">
  <autoFilter ref="E6:H14" xr:uid="{6F8F2913-41BC-4682-918B-5AAC270BE011}"/>
  <sortState ref="E7:G14">
    <sortCondition ref="E6"/>
  </sortState>
  <tableColumns count="4">
    <tableColumn id="4" xr3:uid="{D3E8817D-AD2A-40B1-AE7F-C2070E1F105D}" name="Colaborador" dataDxfId="15"/>
    <tableColumn id="1" xr3:uid="{43D66E87-22BE-4E84-8E34-F5090C1FD9CF}" name="Departamento" dataDxfId="14"/>
    <tableColumn id="2" xr3:uid="{01B5C36D-7596-4928-8223-436FC2210C0E}" name="Contratação" dataDxfId="7"/>
    <tableColumn id="3" xr3:uid="{4B5F2CD2-1941-42AC-BFD0-966646E5FB08}" name="Tempo de Trabalho" dataDxfId="6">
      <calculatedColumnFormula>TODAY()-Tabela45[[#This Row],[Contratação]]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5E8AA6-5898-480F-BE1F-16CEA1AD1DCC}" name="Tabela33" displayName="Tabela33" ref="B2:F17" totalsRowShown="0" headerRowDxfId="13">
  <autoFilter ref="B2:F17" xr:uid="{DD5E8AA6-5898-480F-BE1F-16CEA1AD1DCC}"/>
  <tableColumns count="5">
    <tableColumn id="1" xr3:uid="{B958F52B-2341-454D-9E5A-6B75BABFB98D}" name="Clientes" dataDxfId="12"/>
    <tableColumn id="2" xr3:uid="{650D4482-2B8E-4185-8057-617482418229}" name="Data de Nascimento" dataDxfId="11"/>
    <tableColumn id="3" xr3:uid="{E4B8FDDC-FAFA-4E44-A32B-A42526FF935A}" name="Hora" dataDxfId="5">
      <calculatedColumnFormula>HOUR(Tabela33[[#This Row],[Data de Nascimento]])</calculatedColumnFormula>
    </tableColumn>
    <tableColumn id="4" xr3:uid="{58D7F764-B91B-4183-A900-47443F844969}" name="Minuto" dataDxfId="4">
      <calculatedColumnFormula>MINUTE(Tabela33[[#This Row],[Data de Nascimento]])</calculatedColumnFormula>
    </tableColumn>
    <tableColumn id="5" xr3:uid="{74ACF0C2-4A55-457A-BF86-BFEB50C30B32}" name="Segundo" dataDxfId="3">
      <calculatedColumnFormula>SECOND(Tabela33[[#This Row],[Data de Nascimento]])</calculatedColumnFormula>
    </tableColumn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646C7F-C446-4C56-99E2-81EAF80C8BB5}" name="Tabela3335" displayName="Tabela3335" ref="B3:F18" totalsRowShown="0" headerRowDxfId="10">
  <autoFilter ref="B3:F18" xr:uid="{90646C7F-C446-4C56-99E2-81EAF80C8BB5}"/>
  <tableColumns count="5">
    <tableColumn id="1" xr3:uid="{E6BC47AA-9F65-4DD6-BCBF-B4C83B952E9E}" name="Clientes" dataDxfId="9"/>
    <tableColumn id="2" xr3:uid="{35CB2027-A7EA-4DB6-BE1B-9C4D976F349F}" name="Data de Nascimento" dataDxfId="8"/>
    <tableColumn id="3" xr3:uid="{BF733A92-95A7-4279-9065-991EC27EFCBF}" name="Dia" dataDxfId="2">
      <calculatedColumnFormula>DAY(Tabela3335[[#This Row],[Data de Nascimento]])</calculatedColumnFormula>
    </tableColumn>
    <tableColumn id="4" xr3:uid="{E7B8405A-E61B-4467-95FB-B2FBD17229F3}" name="Mês" dataDxfId="1">
      <calculatedColumnFormula>MONTH(Tabela3335[[#This Row],[Data de Nascimento]])</calculatedColumnFormula>
    </tableColumn>
    <tableColumn id="5" xr3:uid="{63FB8EAB-F5B0-4699-8BE4-D4EE5D61BF28}" name="Ano" dataDxfId="0">
      <calculatedColumnFormula>YEAR(Tabela3335[[#This Row],[Data de Nascimento]])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D546D-CA81-47D0-9735-AF7D0D199FB2}">
  <dimension ref="A1:H15"/>
  <sheetViews>
    <sheetView workbookViewId="0">
      <selection activeCell="K11" sqref="K11"/>
    </sheetView>
  </sheetViews>
  <sheetFormatPr defaultRowHeight="15" x14ac:dyDescent="0.25"/>
  <cols>
    <col min="1" max="1" width="18.7109375" bestFit="1" customWidth="1"/>
    <col min="2" max="2" width="14.85546875" bestFit="1" customWidth="1"/>
    <col min="5" max="5" width="16.28515625" bestFit="1" customWidth="1"/>
    <col min="6" max="6" width="18.85546875" bestFit="1" customWidth="1"/>
    <col min="7" max="7" width="16.140625" bestFit="1" customWidth="1"/>
    <col min="8" max="8" width="23.85546875" bestFit="1" customWidth="1"/>
  </cols>
  <sheetData>
    <row r="1" spans="1:8" ht="15.75" thickBot="1" x14ac:dyDescent="0.3"/>
    <row r="2" spans="1:8" ht="23.25" x14ac:dyDescent="0.25">
      <c r="A2" s="8" t="s">
        <v>0</v>
      </c>
      <c r="B2" s="9"/>
    </row>
    <row r="3" spans="1:8" ht="18.75" x14ac:dyDescent="0.25">
      <c r="A3" s="1" t="s">
        <v>1</v>
      </c>
      <c r="B3" s="2">
        <f ca="1">TODAY()</f>
        <v>45973</v>
      </c>
    </row>
    <row r="4" spans="1:8" ht="18.75" x14ac:dyDescent="0.25">
      <c r="A4" s="1" t="s">
        <v>2</v>
      </c>
      <c r="B4" s="2">
        <f ca="1">TODAY()+30</f>
        <v>46003</v>
      </c>
    </row>
    <row r="5" spans="1:8" ht="18.75" x14ac:dyDescent="0.25">
      <c r="A5" s="1" t="s">
        <v>3</v>
      </c>
      <c r="B5" s="2">
        <f ca="1">TODAY()+60</f>
        <v>46033</v>
      </c>
    </row>
    <row r="6" spans="1:8" ht="19.5" thickBot="1" x14ac:dyDescent="0.3">
      <c r="A6" s="3" t="s">
        <v>4</v>
      </c>
      <c r="B6" s="4">
        <f ca="1">TODAY()+90</f>
        <v>46063</v>
      </c>
      <c r="E6" s="5" t="s">
        <v>5</v>
      </c>
      <c r="F6" s="5" t="s">
        <v>6</v>
      </c>
      <c r="G6" s="5" t="s">
        <v>7</v>
      </c>
      <c r="H6" s="5" t="s">
        <v>8</v>
      </c>
    </row>
    <row r="7" spans="1:8" ht="15.75" x14ac:dyDescent="0.25">
      <c r="E7" s="6" t="s">
        <v>9</v>
      </c>
      <c r="F7" s="6" t="s">
        <v>10</v>
      </c>
      <c r="G7" s="7">
        <v>45873</v>
      </c>
      <c r="H7" s="55">
        <f ca="1">TODAY()-Tabela45[[#This Row],[Contratação]]</f>
        <v>100</v>
      </c>
    </row>
    <row r="8" spans="1:8" ht="15.75" x14ac:dyDescent="0.25">
      <c r="E8" s="6" t="s">
        <v>11</v>
      </c>
      <c r="F8" s="6" t="s">
        <v>12</v>
      </c>
      <c r="G8" s="7">
        <v>45877</v>
      </c>
      <c r="H8" s="55">
        <f ca="1">TODAY()-Tabela45[[#This Row],[Contratação]]</f>
        <v>96</v>
      </c>
    </row>
    <row r="9" spans="1:8" ht="15.75" x14ac:dyDescent="0.25">
      <c r="E9" s="6" t="s">
        <v>13</v>
      </c>
      <c r="F9" s="6" t="s">
        <v>10</v>
      </c>
      <c r="G9" s="7">
        <v>45878</v>
      </c>
      <c r="H9" s="55">
        <f ca="1">TODAY()-Tabela45[[#This Row],[Contratação]]</f>
        <v>95</v>
      </c>
    </row>
    <row r="10" spans="1:8" ht="15.75" x14ac:dyDescent="0.25">
      <c r="E10" s="6" t="s">
        <v>14</v>
      </c>
      <c r="F10" s="6" t="s">
        <v>15</v>
      </c>
      <c r="G10" s="7">
        <v>45874</v>
      </c>
      <c r="H10" s="55">
        <f ca="1">TODAY()-Tabela45[[#This Row],[Contratação]]</f>
        <v>99</v>
      </c>
    </row>
    <row r="11" spans="1:8" ht="15.75" x14ac:dyDescent="0.25">
      <c r="E11" s="6" t="s">
        <v>16</v>
      </c>
      <c r="F11" s="6" t="s">
        <v>17</v>
      </c>
      <c r="G11" s="7">
        <v>45637</v>
      </c>
      <c r="H11" s="55">
        <f ca="1">TODAY()-Tabela45[[#This Row],[Contratação]]</f>
        <v>336</v>
      </c>
    </row>
    <row r="12" spans="1:8" ht="15.75" x14ac:dyDescent="0.25">
      <c r="E12" s="6" t="s">
        <v>18</v>
      </c>
      <c r="F12" s="6" t="s">
        <v>17</v>
      </c>
      <c r="G12" s="7">
        <v>45810</v>
      </c>
      <c r="H12" s="55">
        <f ca="1">TODAY()-Tabela45[[#This Row],[Contratação]]</f>
        <v>163</v>
      </c>
    </row>
    <row r="13" spans="1:8" ht="15.75" x14ac:dyDescent="0.25">
      <c r="E13" s="6" t="s">
        <v>19</v>
      </c>
      <c r="F13" s="6" t="s">
        <v>15</v>
      </c>
      <c r="G13" s="7">
        <v>45658</v>
      </c>
      <c r="H13" s="55">
        <f ca="1">TODAY()-Tabela45[[#This Row],[Contratação]]</f>
        <v>315</v>
      </c>
    </row>
    <row r="14" spans="1:8" ht="15.75" x14ac:dyDescent="0.25">
      <c r="E14" s="6" t="s">
        <v>20</v>
      </c>
      <c r="F14" s="6" t="s">
        <v>10</v>
      </c>
      <c r="G14" s="7">
        <v>45638</v>
      </c>
      <c r="H14" s="55">
        <f ca="1">TODAY()-Tabela45[[#This Row],[Contratação]]</f>
        <v>335</v>
      </c>
    </row>
    <row r="15" spans="1:8" x14ac:dyDescent="0.25">
      <c r="H15" s="56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85317-118A-4A9E-8D71-EE01150A321F}">
  <dimension ref="B3:C13"/>
  <sheetViews>
    <sheetView workbookViewId="0">
      <selection activeCell="H16" sqref="H16"/>
    </sheetView>
  </sheetViews>
  <sheetFormatPr defaultColWidth="9.28515625" defaultRowHeight="15" x14ac:dyDescent="0.25"/>
  <cols>
    <col min="2" max="2" width="15.85546875" bestFit="1" customWidth="1"/>
    <col min="3" max="3" width="17.28515625" bestFit="1" customWidth="1"/>
  </cols>
  <sheetData>
    <row r="3" spans="2:3" ht="23.25" x14ac:dyDescent="0.25">
      <c r="B3" s="51" t="s">
        <v>21</v>
      </c>
      <c r="C3" s="51"/>
    </row>
    <row r="4" spans="2:3" x14ac:dyDescent="0.25">
      <c r="B4" s="57">
        <f ca="1">NOW()+15</f>
        <v>45988.873121296296</v>
      </c>
      <c r="C4" s="10" t="s">
        <v>22</v>
      </c>
    </row>
    <row r="5" spans="2:3" x14ac:dyDescent="0.25">
      <c r="B5" s="11"/>
    </row>
    <row r="6" spans="2:3" x14ac:dyDescent="0.25">
      <c r="B6" s="11"/>
    </row>
    <row r="7" spans="2:3" x14ac:dyDescent="0.25">
      <c r="B7" s="57">
        <f ca="1">NOW()+30</f>
        <v>46003.873121296296</v>
      </c>
      <c r="C7" s="10" t="s">
        <v>23</v>
      </c>
    </row>
    <row r="8" spans="2:3" x14ac:dyDescent="0.25">
      <c r="B8" s="11"/>
    </row>
    <row r="9" spans="2:3" x14ac:dyDescent="0.25">
      <c r="B9" s="11"/>
    </row>
    <row r="10" spans="2:3" x14ac:dyDescent="0.25">
      <c r="B10" s="57">
        <f ca="1">NOW()+60</f>
        <v>46033.873121296296</v>
      </c>
      <c r="C10" s="10" t="s">
        <v>24</v>
      </c>
    </row>
    <row r="11" spans="2:3" x14ac:dyDescent="0.25">
      <c r="B11" s="11"/>
    </row>
    <row r="12" spans="2:3" x14ac:dyDescent="0.25">
      <c r="B12" s="11"/>
    </row>
    <row r="13" spans="2:3" x14ac:dyDescent="0.25">
      <c r="B13" s="57">
        <f ca="1">NOW()+120</f>
        <v>46093.873121296296</v>
      </c>
      <c r="C13" s="10" t="s">
        <v>25</v>
      </c>
    </row>
  </sheetData>
  <mergeCells count="1">
    <mergeCell ref="B3:C3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85BCD-547E-491A-B988-0D303EF5A7DF}">
  <dimension ref="B2:F17"/>
  <sheetViews>
    <sheetView workbookViewId="0">
      <selection activeCell="F4" sqref="F4"/>
    </sheetView>
  </sheetViews>
  <sheetFormatPr defaultRowHeight="15" x14ac:dyDescent="0.25"/>
  <cols>
    <col min="2" max="2" width="12" bestFit="1" customWidth="1"/>
    <col min="3" max="3" width="22.5703125" bestFit="1" customWidth="1"/>
    <col min="4" max="4" width="9.42578125" bestFit="1" customWidth="1"/>
    <col min="5" max="5" width="11.7109375" bestFit="1" customWidth="1"/>
    <col min="6" max="6" width="12.85546875" bestFit="1" customWidth="1"/>
  </cols>
  <sheetData>
    <row r="2" spans="2:6" x14ac:dyDescent="0.25">
      <c r="B2" s="12" t="s">
        <v>26</v>
      </c>
      <c r="C2" s="12" t="s">
        <v>27</v>
      </c>
      <c r="D2" s="12" t="s">
        <v>28</v>
      </c>
      <c r="E2" s="12" t="s">
        <v>29</v>
      </c>
      <c r="F2" s="12" t="s">
        <v>30</v>
      </c>
    </row>
    <row r="3" spans="2:6" x14ac:dyDescent="0.25">
      <c r="B3" s="13" t="s">
        <v>31</v>
      </c>
      <c r="C3" s="14">
        <v>25335.390636574073</v>
      </c>
      <c r="D3" s="11">
        <f>HOUR(Tabela33[[#This Row],[Data de Nascimento]])</f>
        <v>9</v>
      </c>
      <c r="E3" s="11">
        <f>MINUTE(Tabela33[[#This Row],[Data de Nascimento]])</f>
        <v>22</v>
      </c>
      <c r="F3" s="11">
        <f>SECOND(Tabela33[[#This Row],[Data de Nascimento]])</f>
        <v>31</v>
      </c>
    </row>
    <row r="4" spans="2:6" x14ac:dyDescent="0.25">
      <c r="B4" s="13" t="s">
        <v>32</v>
      </c>
      <c r="C4" s="14">
        <v>29340.900960648149</v>
      </c>
      <c r="D4" s="11">
        <f>HOUR(Tabela33[[#This Row],[Data de Nascimento]])</f>
        <v>21</v>
      </c>
      <c r="E4" s="11">
        <f>MINUTE(Tabela33[[#This Row],[Data de Nascimento]])</f>
        <v>37</v>
      </c>
      <c r="F4" s="11">
        <f>SECOND(Tabela33[[#This Row],[Data de Nascimento]])</f>
        <v>23</v>
      </c>
    </row>
    <row r="5" spans="2:6" x14ac:dyDescent="0.25">
      <c r="B5" s="13" t="s">
        <v>33</v>
      </c>
      <c r="C5" s="14">
        <v>32423.573935185184</v>
      </c>
      <c r="D5" s="11">
        <f>HOUR(Tabela33[[#This Row],[Data de Nascimento]])</f>
        <v>13</v>
      </c>
      <c r="E5" s="11">
        <f>MINUTE(Tabela33[[#This Row],[Data de Nascimento]])</f>
        <v>46</v>
      </c>
      <c r="F5" s="11">
        <f>SECOND(Tabela33[[#This Row],[Data de Nascimento]])</f>
        <v>28</v>
      </c>
    </row>
    <row r="6" spans="2:6" x14ac:dyDescent="0.25">
      <c r="B6" s="13" t="s">
        <v>34</v>
      </c>
      <c r="C6" s="14">
        <v>19001.477974537036</v>
      </c>
      <c r="D6" s="11">
        <f>HOUR(Tabela33[[#This Row],[Data de Nascimento]])</f>
        <v>11</v>
      </c>
      <c r="E6" s="11">
        <f>MINUTE(Tabela33[[#This Row],[Data de Nascimento]])</f>
        <v>28</v>
      </c>
      <c r="F6" s="11">
        <f>SECOND(Tabela33[[#This Row],[Data de Nascimento]])</f>
        <v>17</v>
      </c>
    </row>
    <row r="7" spans="2:6" x14ac:dyDescent="0.25">
      <c r="B7" s="13" t="s">
        <v>35</v>
      </c>
      <c r="C7" s="14">
        <v>23131.866516203703</v>
      </c>
      <c r="D7" s="11">
        <f>HOUR(Tabela33[[#This Row],[Data de Nascimento]])</f>
        <v>20</v>
      </c>
      <c r="E7" s="11">
        <f>MINUTE(Tabela33[[#This Row],[Data de Nascimento]])</f>
        <v>47</v>
      </c>
      <c r="F7" s="11">
        <f>SECOND(Tabela33[[#This Row],[Data de Nascimento]])</f>
        <v>47</v>
      </c>
    </row>
    <row r="8" spans="2:6" x14ac:dyDescent="0.25">
      <c r="B8" s="13" t="s">
        <v>36</v>
      </c>
      <c r="C8" s="14">
        <v>20321.661689814813</v>
      </c>
      <c r="D8" s="11">
        <f>HOUR(Tabela33[[#This Row],[Data de Nascimento]])</f>
        <v>15</v>
      </c>
      <c r="E8" s="11">
        <f>MINUTE(Tabela33[[#This Row],[Data de Nascimento]])</f>
        <v>52</v>
      </c>
      <c r="F8" s="11">
        <f>SECOND(Tabela33[[#This Row],[Data de Nascimento]])</f>
        <v>50</v>
      </c>
    </row>
    <row r="9" spans="2:6" x14ac:dyDescent="0.25">
      <c r="B9" s="13" t="s">
        <v>37</v>
      </c>
      <c r="C9" s="14">
        <v>33999.367372685185</v>
      </c>
      <c r="D9" s="11">
        <f>HOUR(Tabela33[[#This Row],[Data de Nascimento]])</f>
        <v>8</v>
      </c>
      <c r="E9" s="11">
        <f>MINUTE(Tabela33[[#This Row],[Data de Nascimento]])</f>
        <v>49</v>
      </c>
      <c r="F9" s="11">
        <f>SECOND(Tabela33[[#This Row],[Data de Nascimento]])</f>
        <v>1</v>
      </c>
    </row>
    <row r="10" spans="2:6" x14ac:dyDescent="0.25">
      <c r="B10" s="13" t="s">
        <v>38</v>
      </c>
      <c r="C10" s="14">
        <v>29792.137673611112</v>
      </c>
      <c r="D10" s="11">
        <f>HOUR(Tabela33[[#This Row],[Data de Nascimento]])</f>
        <v>3</v>
      </c>
      <c r="E10" s="11">
        <f>MINUTE(Tabela33[[#This Row],[Data de Nascimento]])</f>
        <v>18</v>
      </c>
      <c r="F10" s="11">
        <f>SECOND(Tabela33[[#This Row],[Data de Nascimento]])</f>
        <v>15</v>
      </c>
    </row>
    <row r="11" spans="2:6" x14ac:dyDescent="0.25">
      <c r="B11" s="13" t="s">
        <v>39</v>
      </c>
      <c r="C11" s="14">
        <v>18390.641145833335</v>
      </c>
      <c r="D11" s="11">
        <f>HOUR(Tabela33[[#This Row],[Data de Nascimento]])</f>
        <v>15</v>
      </c>
      <c r="E11" s="11">
        <f>MINUTE(Tabela33[[#This Row],[Data de Nascimento]])</f>
        <v>23</v>
      </c>
      <c r="F11" s="11">
        <f>SECOND(Tabela33[[#This Row],[Data de Nascimento]])</f>
        <v>15</v>
      </c>
    </row>
    <row r="12" spans="2:6" x14ac:dyDescent="0.25">
      <c r="B12" s="13" t="s">
        <v>40</v>
      </c>
      <c r="C12" s="14">
        <v>29037.920555555556</v>
      </c>
      <c r="D12" s="11">
        <f>HOUR(Tabela33[[#This Row],[Data de Nascimento]])</f>
        <v>22</v>
      </c>
      <c r="E12" s="11">
        <f>MINUTE(Tabela33[[#This Row],[Data de Nascimento]])</f>
        <v>5</v>
      </c>
      <c r="F12" s="11">
        <f>SECOND(Tabela33[[#This Row],[Data de Nascimento]])</f>
        <v>36</v>
      </c>
    </row>
    <row r="13" spans="2:6" x14ac:dyDescent="0.25">
      <c r="B13" s="13" t="s">
        <v>41</v>
      </c>
      <c r="C13" s="14">
        <v>28014.10258101852</v>
      </c>
      <c r="D13" s="11">
        <f>HOUR(Tabela33[[#This Row],[Data de Nascimento]])</f>
        <v>2</v>
      </c>
      <c r="E13" s="11">
        <f>MINUTE(Tabela33[[#This Row],[Data de Nascimento]])</f>
        <v>27</v>
      </c>
      <c r="F13" s="11">
        <f>SECOND(Tabela33[[#This Row],[Data de Nascimento]])</f>
        <v>43</v>
      </c>
    </row>
    <row r="14" spans="2:6" x14ac:dyDescent="0.25">
      <c r="B14" s="13" t="s">
        <v>42</v>
      </c>
      <c r="C14" s="14">
        <v>26503.226817129631</v>
      </c>
      <c r="D14" s="11">
        <f>HOUR(Tabela33[[#This Row],[Data de Nascimento]])</f>
        <v>5</v>
      </c>
      <c r="E14" s="11">
        <f>MINUTE(Tabela33[[#This Row],[Data de Nascimento]])</f>
        <v>26</v>
      </c>
      <c r="F14" s="11">
        <f>SECOND(Tabela33[[#This Row],[Data de Nascimento]])</f>
        <v>37</v>
      </c>
    </row>
    <row r="15" spans="2:6" x14ac:dyDescent="0.25">
      <c r="B15" s="13" t="s">
        <v>43</v>
      </c>
      <c r="C15" s="14">
        <v>29222.499282407407</v>
      </c>
      <c r="D15" s="11">
        <f>HOUR(Tabela33[[#This Row],[Data de Nascimento]])</f>
        <v>11</v>
      </c>
      <c r="E15" s="11">
        <f>MINUTE(Tabela33[[#This Row],[Data de Nascimento]])</f>
        <v>58</v>
      </c>
      <c r="F15" s="11">
        <f>SECOND(Tabela33[[#This Row],[Data de Nascimento]])</f>
        <v>58</v>
      </c>
    </row>
    <row r="16" spans="2:6" x14ac:dyDescent="0.25">
      <c r="B16" s="13" t="s">
        <v>44</v>
      </c>
      <c r="C16" s="14">
        <v>19471.79886574074</v>
      </c>
      <c r="D16" s="11">
        <f>HOUR(Tabela33[[#This Row],[Data de Nascimento]])</f>
        <v>19</v>
      </c>
      <c r="E16" s="11">
        <f>MINUTE(Tabela33[[#This Row],[Data de Nascimento]])</f>
        <v>10</v>
      </c>
      <c r="F16" s="11">
        <f>SECOND(Tabela33[[#This Row],[Data de Nascimento]])</f>
        <v>22</v>
      </c>
    </row>
    <row r="17" spans="2:6" x14ac:dyDescent="0.25">
      <c r="B17" s="13" t="s">
        <v>45</v>
      </c>
      <c r="C17" s="14">
        <v>33779.173576388886</v>
      </c>
      <c r="D17" s="11">
        <f>HOUR(Tabela33[[#This Row],[Data de Nascimento]])</f>
        <v>4</v>
      </c>
      <c r="E17" s="11">
        <f>MINUTE(Tabela33[[#This Row],[Data de Nascimento]])</f>
        <v>9</v>
      </c>
      <c r="F17" s="11">
        <f>SECOND(Tabela33[[#This Row],[Data de Nascimento]])</f>
        <v>57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9E56-B43C-4CB1-9313-9E112B2649E0}">
  <dimension ref="B3:O18"/>
  <sheetViews>
    <sheetView workbookViewId="0">
      <selection activeCell="J18" sqref="J18"/>
    </sheetView>
  </sheetViews>
  <sheetFormatPr defaultRowHeight="15" x14ac:dyDescent="0.25"/>
  <cols>
    <col min="2" max="2" width="12" bestFit="1" customWidth="1"/>
    <col min="3" max="3" width="22.5703125" bestFit="1" customWidth="1"/>
    <col min="4" max="4" width="8.140625" bestFit="1" customWidth="1"/>
    <col min="5" max="5" width="9" bestFit="1" customWidth="1"/>
  </cols>
  <sheetData>
    <row r="3" spans="2:15" x14ac:dyDescent="0.25">
      <c r="B3" s="12" t="s">
        <v>26</v>
      </c>
      <c r="C3" s="12" t="s">
        <v>27</v>
      </c>
      <c r="D3" s="12" t="s">
        <v>46</v>
      </c>
      <c r="E3" s="12" t="s">
        <v>47</v>
      </c>
      <c r="F3" s="12" t="s">
        <v>48</v>
      </c>
    </row>
    <row r="4" spans="2:15" x14ac:dyDescent="0.25">
      <c r="B4" s="13" t="s">
        <v>31</v>
      </c>
      <c r="C4" s="14">
        <v>25335.390636574073</v>
      </c>
      <c r="D4" s="11">
        <f>DAY(Tabela3335[[#This Row],[Data de Nascimento]])</f>
        <v>12</v>
      </c>
      <c r="E4" s="11">
        <f>MONTH(Tabela3335[[#This Row],[Data de Nascimento]])</f>
        <v>5</v>
      </c>
      <c r="F4" s="11">
        <f>YEAR(Tabela3335[[#This Row],[Data de Nascimento]])</f>
        <v>1969</v>
      </c>
    </row>
    <row r="5" spans="2:15" x14ac:dyDescent="0.25">
      <c r="B5" s="13" t="s">
        <v>32</v>
      </c>
      <c r="C5" s="14">
        <v>29340.900960648149</v>
      </c>
      <c r="D5" s="11">
        <f>DAY(Tabela3335[[#This Row],[Data de Nascimento]])</f>
        <v>29</v>
      </c>
      <c r="E5" s="11">
        <f>MONTH(Tabela3335[[#This Row],[Data de Nascimento]])</f>
        <v>4</v>
      </c>
      <c r="F5" s="11">
        <f>YEAR(Tabela3335[[#This Row],[Data de Nascimento]])</f>
        <v>1980</v>
      </c>
    </row>
    <row r="6" spans="2:15" x14ac:dyDescent="0.25">
      <c r="B6" s="13" t="s">
        <v>33</v>
      </c>
      <c r="C6" s="14">
        <v>32423.573935185184</v>
      </c>
      <c r="D6" s="11">
        <f>DAY(Tabela3335[[#This Row],[Data de Nascimento]])</f>
        <v>7</v>
      </c>
      <c r="E6" s="11">
        <f>MONTH(Tabela3335[[#This Row],[Data de Nascimento]])</f>
        <v>10</v>
      </c>
      <c r="F6" s="11">
        <f>YEAR(Tabela3335[[#This Row],[Data de Nascimento]])</f>
        <v>1988</v>
      </c>
    </row>
    <row r="7" spans="2:15" x14ac:dyDescent="0.25">
      <c r="B7" s="13" t="s">
        <v>34</v>
      </c>
      <c r="C7" s="14">
        <v>19001.477974537036</v>
      </c>
      <c r="D7" s="11">
        <f>DAY(Tabela3335[[#This Row],[Data de Nascimento]])</f>
        <v>8</v>
      </c>
      <c r="E7" s="11">
        <f>MONTH(Tabela3335[[#This Row],[Data de Nascimento]])</f>
        <v>1</v>
      </c>
      <c r="F7" s="11">
        <f>YEAR(Tabela3335[[#This Row],[Data de Nascimento]])</f>
        <v>1952</v>
      </c>
    </row>
    <row r="8" spans="2:15" x14ac:dyDescent="0.25">
      <c r="B8" s="13" t="s">
        <v>35</v>
      </c>
      <c r="C8" s="14">
        <v>23131.866516203703</v>
      </c>
      <c r="D8" s="11">
        <f>DAY(Tabela3335[[#This Row],[Data de Nascimento]])</f>
        <v>30</v>
      </c>
      <c r="E8" s="11">
        <f>MONTH(Tabela3335[[#This Row],[Data de Nascimento]])</f>
        <v>4</v>
      </c>
      <c r="F8" s="11">
        <f>YEAR(Tabela3335[[#This Row],[Data de Nascimento]])</f>
        <v>1963</v>
      </c>
    </row>
    <row r="9" spans="2:15" x14ac:dyDescent="0.25">
      <c r="B9" s="13" t="s">
        <v>36</v>
      </c>
      <c r="C9" s="14">
        <v>20321.661689814813</v>
      </c>
      <c r="D9" s="11">
        <f>DAY(Tabela3335[[#This Row],[Data de Nascimento]])</f>
        <v>20</v>
      </c>
      <c r="E9" s="11">
        <f>MONTH(Tabela3335[[#This Row],[Data de Nascimento]])</f>
        <v>8</v>
      </c>
      <c r="F9" s="11">
        <f>YEAR(Tabela3335[[#This Row],[Data de Nascimento]])</f>
        <v>1955</v>
      </c>
    </row>
    <row r="10" spans="2:15" x14ac:dyDescent="0.25">
      <c r="B10" s="13" t="s">
        <v>37</v>
      </c>
      <c r="C10" s="14">
        <v>33999.367372685185</v>
      </c>
      <c r="D10" s="11">
        <f>DAY(Tabela3335[[#This Row],[Data de Nascimento]])</f>
        <v>30</v>
      </c>
      <c r="E10" s="11">
        <f>MONTH(Tabela3335[[#This Row],[Data de Nascimento]])</f>
        <v>1</v>
      </c>
      <c r="F10" s="11">
        <f>YEAR(Tabela3335[[#This Row],[Data de Nascimento]])</f>
        <v>1993</v>
      </c>
    </row>
    <row r="11" spans="2:15" x14ac:dyDescent="0.25">
      <c r="B11" s="13" t="s">
        <v>38</v>
      </c>
      <c r="C11" s="14">
        <v>29792.137673611112</v>
      </c>
      <c r="D11" s="11">
        <f>DAY(Tabela3335[[#This Row],[Data de Nascimento]])</f>
        <v>25</v>
      </c>
      <c r="E11" s="11">
        <f>MONTH(Tabela3335[[#This Row],[Data de Nascimento]])</f>
        <v>7</v>
      </c>
      <c r="F11" s="11">
        <f>YEAR(Tabela3335[[#This Row],[Data de Nascimento]])</f>
        <v>1981</v>
      </c>
    </row>
    <row r="12" spans="2:15" x14ac:dyDescent="0.25">
      <c r="B12" s="13" t="s">
        <v>39</v>
      </c>
      <c r="C12" s="14">
        <v>18390.641145833335</v>
      </c>
      <c r="D12" s="11">
        <f>DAY(Tabela3335[[#This Row],[Data de Nascimento]])</f>
        <v>7</v>
      </c>
      <c r="E12" s="11">
        <f>MONTH(Tabela3335[[#This Row],[Data de Nascimento]])</f>
        <v>5</v>
      </c>
      <c r="F12" s="11">
        <f>YEAR(Tabela3335[[#This Row],[Data de Nascimento]])</f>
        <v>1950</v>
      </c>
    </row>
    <row r="13" spans="2:15" x14ac:dyDescent="0.25">
      <c r="B13" s="13" t="s">
        <v>40</v>
      </c>
      <c r="C13" s="14">
        <v>29037.920555555556</v>
      </c>
      <c r="D13" s="11">
        <f>DAY(Tabela3335[[#This Row],[Data de Nascimento]])</f>
        <v>1</v>
      </c>
      <c r="E13" s="11">
        <f>MONTH(Tabela3335[[#This Row],[Data de Nascimento]])</f>
        <v>7</v>
      </c>
      <c r="F13" s="11">
        <f>YEAR(Tabela3335[[#This Row],[Data de Nascimento]])</f>
        <v>1979</v>
      </c>
    </row>
    <row r="14" spans="2:15" x14ac:dyDescent="0.25">
      <c r="B14" s="13" t="s">
        <v>41</v>
      </c>
      <c r="C14" s="14">
        <v>28014.10258101852</v>
      </c>
      <c r="D14" s="11">
        <f>DAY(Tabela3335[[#This Row],[Data de Nascimento]])</f>
        <v>11</v>
      </c>
      <c r="E14" s="11">
        <f>MONTH(Tabela3335[[#This Row],[Data de Nascimento]])</f>
        <v>9</v>
      </c>
      <c r="F14" s="11">
        <f>YEAR(Tabela3335[[#This Row],[Data de Nascimento]])</f>
        <v>1976</v>
      </c>
    </row>
    <row r="15" spans="2:15" x14ac:dyDescent="0.25">
      <c r="B15" s="13" t="s">
        <v>42</v>
      </c>
      <c r="C15" s="14">
        <v>26503.226817129631</v>
      </c>
      <c r="D15" s="11">
        <f>DAY(Tabela3335[[#This Row],[Data de Nascimento]])</f>
        <v>23</v>
      </c>
      <c r="E15" s="11">
        <f>MONTH(Tabela3335[[#This Row],[Data de Nascimento]])</f>
        <v>7</v>
      </c>
      <c r="F15" s="11">
        <f>YEAR(Tabela3335[[#This Row],[Data de Nascimento]])</f>
        <v>1972</v>
      </c>
      <c r="O15" s="15"/>
    </row>
    <row r="16" spans="2:15" x14ac:dyDescent="0.25">
      <c r="B16" s="13" t="s">
        <v>43</v>
      </c>
      <c r="C16" s="14">
        <v>29222.499282407407</v>
      </c>
      <c r="D16" s="11">
        <f>DAY(Tabela3335[[#This Row],[Data de Nascimento]])</f>
        <v>2</v>
      </c>
      <c r="E16" s="11">
        <f>MONTH(Tabela3335[[#This Row],[Data de Nascimento]])</f>
        <v>1</v>
      </c>
      <c r="F16" s="11">
        <f>YEAR(Tabela3335[[#This Row],[Data de Nascimento]])</f>
        <v>1980</v>
      </c>
    </row>
    <row r="17" spans="2:6" x14ac:dyDescent="0.25">
      <c r="B17" s="13" t="s">
        <v>44</v>
      </c>
      <c r="C17" s="14">
        <v>19471.79886574074</v>
      </c>
      <c r="D17" s="11">
        <f>DAY(Tabela3335[[#This Row],[Data de Nascimento]])</f>
        <v>22</v>
      </c>
      <c r="E17" s="11">
        <f>MONTH(Tabela3335[[#This Row],[Data de Nascimento]])</f>
        <v>4</v>
      </c>
      <c r="F17" s="11">
        <f>YEAR(Tabela3335[[#This Row],[Data de Nascimento]])</f>
        <v>1953</v>
      </c>
    </row>
    <row r="18" spans="2:6" x14ac:dyDescent="0.25">
      <c r="B18" s="13" t="s">
        <v>45</v>
      </c>
      <c r="C18" s="14">
        <v>33779.173576388886</v>
      </c>
      <c r="D18" s="11">
        <f>DAY(Tabela3335[[#This Row],[Data de Nascimento]])</f>
        <v>24</v>
      </c>
      <c r="E18" s="11">
        <f>MONTH(Tabela3335[[#This Row],[Data de Nascimento]])</f>
        <v>6</v>
      </c>
      <c r="F18" s="11">
        <f>YEAR(Tabela3335[[#This Row],[Data de Nascimento]])</f>
        <v>1992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7CA6A-CCB6-4B0F-9C83-B1C3293375DD}">
  <dimension ref="B1:H18"/>
  <sheetViews>
    <sheetView topLeftCell="B1" workbookViewId="0">
      <selection activeCell="H16" sqref="H16"/>
    </sheetView>
  </sheetViews>
  <sheetFormatPr defaultRowHeight="15" x14ac:dyDescent="0.25"/>
  <cols>
    <col min="2" max="2" width="8.140625" bestFit="1" customWidth="1"/>
    <col min="3" max="3" width="3.7109375" bestFit="1" customWidth="1"/>
    <col min="4" max="4" width="4.5703125" bestFit="1" customWidth="1"/>
    <col min="5" max="5" width="5" bestFit="1" customWidth="1"/>
    <col min="6" max="6" width="10.5703125" bestFit="1" customWidth="1"/>
  </cols>
  <sheetData>
    <row r="1" spans="2:8" ht="15.75" thickBot="1" x14ac:dyDescent="0.3"/>
    <row r="2" spans="2:8" ht="24" thickBot="1" x14ac:dyDescent="0.3">
      <c r="B2" s="52" t="s">
        <v>49</v>
      </c>
      <c r="C2" s="53"/>
      <c r="D2" s="53"/>
      <c r="E2" s="53"/>
      <c r="F2" s="54"/>
    </row>
    <row r="3" spans="2:8" ht="15.75" thickBot="1" x14ac:dyDescent="0.3">
      <c r="B3" s="16" t="s">
        <v>26</v>
      </c>
      <c r="C3" s="17" t="s">
        <v>46</v>
      </c>
      <c r="D3" s="17" t="s">
        <v>47</v>
      </c>
      <c r="E3" s="17" t="s">
        <v>48</v>
      </c>
      <c r="F3" s="17" t="s">
        <v>50</v>
      </c>
    </row>
    <row r="4" spans="2:8" ht="15.75" thickTop="1" x14ac:dyDescent="0.25">
      <c r="B4" s="18" t="s">
        <v>32</v>
      </c>
      <c r="C4" s="19">
        <v>29</v>
      </c>
      <c r="D4" s="19">
        <v>4</v>
      </c>
      <c r="E4" s="19">
        <v>1980</v>
      </c>
      <c r="F4" s="58">
        <f>DATE(E4,D4,C4)</f>
        <v>29340</v>
      </c>
    </row>
    <row r="5" spans="2:8" x14ac:dyDescent="0.25">
      <c r="B5" s="20" t="s">
        <v>35</v>
      </c>
      <c r="C5" s="21">
        <v>30</v>
      </c>
      <c r="D5" s="21">
        <v>4</v>
      </c>
      <c r="E5" s="21">
        <v>1963</v>
      </c>
      <c r="F5" s="58">
        <f t="shared" ref="F5:F18" si="0">DATE(E5,D5,C5)</f>
        <v>23131</v>
      </c>
    </row>
    <row r="6" spans="2:8" x14ac:dyDescent="0.25">
      <c r="B6" s="22" t="s">
        <v>36</v>
      </c>
      <c r="C6" s="23">
        <v>20</v>
      </c>
      <c r="D6" s="23">
        <v>8</v>
      </c>
      <c r="E6" s="23">
        <v>1955</v>
      </c>
      <c r="F6" s="58">
        <f t="shared" si="0"/>
        <v>20321</v>
      </c>
    </row>
    <row r="7" spans="2:8" x14ac:dyDescent="0.25">
      <c r="B7" s="20" t="s">
        <v>34</v>
      </c>
      <c r="C7" s="21">
        <v>8</v>
      </c>
      <c r="D7" s="21">
        <v>1</v>
      </c>
      <c r="E7" s="21">
        <v>1952</v>
      </c>
      <c r="F7" s="58">
        <f t="shared" si="0"/>
        <v>19001</v>
      </c>
    </row>
    <row r="8" spans="2:8" x14ac:dyDescent="0.25">
      <c r="B8" s="22" t="s">
        <v>38</v>
      </c>
      <c r="C8" s="23">
        <v>25</v>
      </c>
      <c r="D8" s="23">
        <v>7</v>
      </c>
      <c r="E8" s="23">
        <v>1981</v>
      </c>
      <c r="F8" s="58">
        <f t="shared" si="0"/>
        <v>29792</v>
      </c>
    </row>
    <row r="9" spans="2:8" x14ac:dyDescent="0.25">
      <c r="B9" s="20" t="s">
        <v>31</v>
      </c>
      <c r="C9" s="21">
        <v>12</v>
      </c>
      <c r="D9" s="21">
        <v>5</v>
      </c>
      <c r="E9" s="21">
        <v>1969</v>
      </c>
      <c r="F9" s="58">
        <f t="shared" si="0"/>
        <v>25335</v>
      </c>
    </row>
    <row r="10" spans="2:8" x14ac:dyDescent="0.25">
      <c r="B10" s="22" t="s">
        <v>39</v>
      </c>
      <c r="C10" s="23">
        <v>7</v>
      </c>
      <c r="D10" s="23">
        <v>5</v>
      </c>
      <c r="E10" s="23">
        <v>1950</v>
      </c>
      <c r="F10" s="58">
        <f t="shared" si="0"/>
        <v>18390</v>
      </c>
    </row>
    <row r="11" spans="2:8" x14ac:dyDescent="0.25">
      <c r="B11" s="20" t="s">
        <v>40</v>
      </c>
      <c r="C11" s="21">
        <v>1</v>
      </c>
      <c r="D11" s="21">
        <v>7</v>
      </c>
      <c r="E11" s="21">
        <v>1979</v>
      </c>
      <c r="F11" s="58">
        <f t="shared" si="0"/>
        <v>29037</v>
      </c>
      <c r="H11" s="15"/>
    </row>
    <row r="12" spans="2:8" x14ac:dyDescent="0.25">
      <c r="B12" s="22" t="s">
        <v>43</v>
      </c>
      <c r="C12" s="23">
        <v>2</v>
      </c>
      <c r="D12" s="23">
        <v>1</v>
      </c>
      <c r="E12" s="23">
        <v>1980</v>
      </c>
      <c r="F12" s="58">
        <f t="shared" si="0"/>
        <v>29222</v>
      </c>
    </row>
    <row r="13" spans="2:8" x14ac:dyDescent="0.25">
      <c r="B13" s="20" t="s">
        <v>44</v>
      </c>
      <c r="C13" s="21">
        <v>22</v>
      </c>
      <c r="D13" s="21">
        <v>4</v>
      </c>
      <c r="E13" s="21">
        <v>1953</v>
      </c>
      <c r="F13" s="58">
        <f t="shared" si="0"/>
        <v>19471</v>
      </c>
    </row>
    <row r="14" spans="2:8" x14ac:dyDescent="0.25">
      <c r="B14" s="22" t="s">
        <v>45</v>
      </c>
      <c r="C14" s="23">
        <v>24</v>
      </c>
      <c r="D14" s="23">
        <v>6</v>
      </c>
      <c r="E14" s="23">
        <v>1992</v>
      </c>
      <c r="F14" s="58">
        <f t="shared" si="0"/>
        <v>33779</v>
      </c>
    </row>
    <row r="15" spans="2:8" x14ac:dyDescent="0.25">
      <c r="B15" s="20" t="s">
        <v>41</v>
      </c>
      <c r="C15" s="21">
        <v>11</v>
      </c>
      <c r="D15" s="21">
        <v>9</v>
      </c>
      <c r="E15" s="21">
        <v>1976</v>
      </c>
      <c r="F15" s="58">
        <f t="shared" si="0"/>
        <v>28014</v>
      </c>
    </row>
    <row r="16" spans="2:8" x14ac:dyDescent="0.25">
      <c r="B16" s="22" t="s">
        <v>42</v>
      </c>
      <c r="C16" s="23">
        <v>23</v>
      </c>
      <c r="D16" s="23">
        <v>7</v>
      </c>
      <c r="E16" s="23">
        <v>1972</v>
      </c>
      <c r="F16" s="58">
        <f t="shared" si="0"/>
        <v>26503</v>
      </c>
    </row>
    <row r="17" spans="2:6" x14ac:dyDescent="0.25">
      <c r="B17" s="20" t="s">
        <v>33</v>
      </c>
      <c r="C17" s="21">
        <v>7</v>
      </c>
      <c r="D17" s="21">
        <v>10</v>
      </c>
      <c r="E17" s="21">
        <v>1988</v>
      </c>
      <c r="F17" s="58">
        <f t="shared" si="0"/>
        <v>32423</v>
      </c>
    </row>
    <row r="18" spans="2:6" x14ac:dyDescent="0.25">
      <c r="B18" s="22" t="s">
        <v>37</v>
      </c>
      <c r="C18" s="23">
        <v>30</v>
      </c>
      <c r="D18" s="23">
        <v>1</v>
      </c>
      <c r="E18" s="24">
        <v>1993</v>
      </c>
      <c r="F18" s="58">
        <f t="shared" si="0"/>
        <v>33999</v>
      </c>
    </row>
  </sheetData>
  <mergeCells count="1">
    <mergeCell ref="B2:F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D7CC-321C-49D8-B9C1-0AF44472F35B}">
  <sheetPr>
    <tabColor rgb="FF00B050"/>
  </sheetPr>
  <dimension ref="A3:D10"/>
  <sheetViews>
    <sheetView workbookViewId="0">
      <selection activeCell="B4" sqref="B4:B6"/>
    </sheetView>
  </sheetViews>
  <sheetFormatPr defaultRowHeight="15" x14ac:dyDescent="0.25"/>
  <cols>
    <col min="1" max="1" width="15.28515625" bestFit="1" customWidth="1"/>
    <col min="2" max="2" width="10.5703125" bestFit="1" customWidth="1"/>
    <col min="3" max="3" width="9.140625" customWidth="1"/>
    <col min="4" max="4" width="29.85546875" customWidth="1"/>
  </cols>
  <sheetData>
    <row r="3" spans="1:4" ht="15.75" thickBot="1" x14ac:dyDescent="0.3">
      <c r="A3" s="16" t="s">
        <v>5</v>
      </c>
      <c r="B3" s="17" t="s">
        <v>51</v>
      </c>
      <c r="C3" s="17" t="s">
        <v>47</v>
      </c>
      <c r="D3" s="16" t="s">
        <v>52</v>
      </c>
    </row>
    <row r="4" spans="1:4" ht="16.5" thickTop="1" thickBot="1" x14ac:dyDescent="0.3">
      <c r="A4" s="25" t="s">
        <v>53</v>
      </c>
      <c r="B4" s="26">
        <v>41645</v>
      </c>
      <c r="C4" s="34">
        <f>MONTH(B4)</f>
        <v>1</v>
      </c>
      <c r="D4" s="59">
        <f>B4</f>
        <v>41645</v>
      </c>
    </row>
    <row r="5" spans="1:4" ht="16.5" thickTop="1" thickBot="1" x14ac:dyDescent="0.3">
      <c r="A5" s="28" t="s">
        <v>11</v>
      </c>
      <c r="B5" s="29">
        <v>22017</v>
      </c>
      <c r="C5" s="34">
        <f t="shared" ref="C5:D10" si="0">MONTH(B5)</f>
        <v>4</v>
      </c>
      <c r="D5" s="59">
        <f t="shared" ref="D5:D10" si="1">B5</f>
        <v>22017</v>
      </c>
    </row>
    <row r="6" spans="1:4" ht="16.5" thickTop="1" thickBot="1" x14ac:dyDescent="0.3">
      <c r="A6" s="31" t="s">
        <v>13</v>
      </c>
      <c r="B6" s="32">
        <v>43208</v>
      </c>
      <c r="C6" s="34">
        <f t="shared" si="0"/>
        <v>4</v>
      </c>
      <c r="D6" s="59">
        <f t="shared" si="1"/>
        <v>43208</v>
      </c>
    </row>
    <row r="7" spans="1:4" ht="16.5" thickTop="1" thickBot="1" x14ac:dyDescent="0.3">
      <c r="A7" s="28" t="s">
        <v>14</v>
      </c>
      <c r="B7" s="29">
        <v>31320</v>
      </c>
      <c r="C7" s="34">
        <f t="shared" si="0"/>
        <v>9</v>
      </c>
      <c r="D7" s="59">
        <f t="shared" si="1"/>
        <v>31320</v>
      </c>
    </row>
    <row r="8" spans="1:4" ht="16.5" thickTop="1" thickBot="1" x14ac:dyDescent="0.3">
      <c r="A8" s="31" t="s">
        <v>16</v>
      </c>
      <c r="B8" s="32">
        <v>24916</v>
      </c>
      <c r="C8" s="34">
        <f t="shared" si="0"/>
        <v>3</v>
      </c>
      <c r="D8" s="59">
        <f t="shared" si="1"/>
        <v>24916</v>
      </c>
    </row>
    <row r="9" spans="1:4" ht="16.5" thickTop="1" thickBot="1" x14ac:dyDescent="0.3">
      <c r="A9" s="28" t="s">
        <v>54</v>
      </c>
      <c r="B9" s="29">
        <v>34446</v>
      </c>
      <c r="C9" s="34">
        <f t="shared" si="0"/>
        <v>4</v>
      </c>
      <c r="D9" s="59">
        <f t="shared" si="1"/>
        <v>34446</v>
      </c>
    </row>
    <row r="10" spans="1:4" ht="15.75" thickTop="1" x14ac:dyDescent="0.25">
      <c r="A10" s="31" t="s">
        <v>55</v>
      </c>
      <c r="B10" s="32">
        <v>39226</v>
      </c>
      <c r="C10" s="34">
        <f t="shared" si="0"/>
        <v>5</v>
      </c>
      <c r="D10" s="59">
        <f t="shared" si="1"/>
        <v>39226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2195-D853-406E-9070-B590DB8B2B85}">
  <sheetPr>
    <tabColor rgb="FF00B050"/>
  </sheetPr>
  <dimension ref="B2:F23"/>
  <sheetViews>
    <sheetView tabSelected="1" workbookViewId="0">
      <selection activeCell="E22" sqref="E22"/>
    </sheetView>
  </sheetViews>
  <sheetFormatPr defaultRowHeight="15" x14ac:dyDescent="0.25"/>
  <cols>
    <col min="2" max="2" width="15.28515625" bestFit="1" customWidth="1"/>
    <col min="3" max="3" width="11.28515625" bestFit="1" customWidth="1"/>
    <col min="4" max="4" width="10.28515625" bestFit="1" customWidth="1"/>
    <col min="5" max="5" width="9.85546875" customWidth="1"/>
    <col min="6" max="6" width="32" bestFit="1" customWidth="1"/>
  </cols>
  <sheetData>
    <row r="2" spans="2:6" ht="15.75" thickBot="1" x14ac:dyDescent="0.3">
      <c r="B2" s="35" t="s">
        <v>56</v>
      </c>
      <c r="C2" s="36" t="s">
        <v>57</v>
      </c>
      <c r="D2" s="36" t="s">
        <v>58</v>
      </c>
      <c r="E2" s="36" t="s">
        <v>46</v>
      </c>
      <c r="F2" s="35" t="s">
        <v>59</v>
      </c>
    </row>
    <row r="3" spans="2:6" ht="16.5" thickTop="1" thickBot="1" x14ac:dyDescent="0.3">
      <c r="B3" s="37" t="s">
        <v>60</v>
      </c>
      <c r="C3" s="38">
        <v>43409</v>
      </c>
      <c r="D3" s="39">
        <v>78.430000000000007</v>
      </c>
      <c r="E3" s="40">
        <f>DAY(C3)</f>
        <v>5</v>
      </c>
      <c r="F3" s="60">
        <f>C3</f>
        <v>43409</v>
      </c>
    </row>
    <row r="4" spans="2:6" ht="16.5" thickTop="1" thickBot="1" x14ac:dyDescent="0.3">
      <c r="B4" s="41" t="s">
        <v>61</v>
      </c>
      <c r="C4" s="42">
        <v>43414</v>
      </c>
      <c r="D4" s="43">
        <v>800</v>
      </c>
      <c r="E4" s="40">
        <f t="shared" ref="E4:E9" si="0">DAY(C4)</f>
        <v>10</v>
      </c>
      <c r="F4" s="60">
        <f t="shared" ref="F4:F9" si="1">C4</f>
        <v>43414</v>
      </c>
    </row>
    <row r="5" spans="2:6" ht="16.5" thickTop="1" thickBot="1" x14ac:dyDescent="0.3">
      <c r="B5" s="44" t="s">
        <v>62</v>
      </c>
      <c r="C5" s="45">
        <v>43434</v>
      </c>
      <c r="D5" s="46">
        <v>980</v>
      </c>
      <c r="E5" s="40">
        <f t="shared" si="0"/>
        <v>30</v>
      </c>
      <c r="F5" s="60">
        <f t="shared" si="1"/>
        <v>43434</v>
      </c>
    </row>
    <row r="6" spans="2:6" ht="16.5" thickTop="1" thickBot="1" x14ac:dyDescent="0.3">
      <c r="B6" s="41" t="s">
        <v>63</v>
      </c>
      <c r="C6" s="42">
        <v>43424</v>
      </c>
      <c r="D6" s="43">
        <v>748.85</v>
      </c>
      <c r="E6" s="40">
        <f t="shared" si="0"/>
        <v>20</v>
      </c>
      <c r="F6" s="60">
        <f t="shared" si="1"/>
        <v>43424</v>
      </c>
    </row>
    <row r="7" spans="2:6" ht="16.5" thickTop="1" thickBot="1" x14ac:dyDescent="0.3">
      <c r="B7" s="44" t="s">
        <v>64</v>
      </c>
      <c r="C7" s="45">
        <v>43409</v>
      </c>
      <c r="D7" s="46">
        <v>345.5</v>
      </c>
      <c r="E7" s="40">
        <f t="shared" si="0"/>
        <v>5</v>
      </c>
      <c r="F7" s="60">
        <f t="shared" si="1"/>
        <v>43409</v>
      </c>
    </row>
    <row r="8" spans="2:6" ht="16.5" thickTop="1" thickBot="1" x14ac:dyDescent="0.3">
      <c r="B8" s="41" t="s">
        <v>65</v>
      </c>
      <c r="C8" s="42">
        <v>43409</v>
      </c>
      <c r="D8" s="43">
        <v>158.84</v>
      </c>
      <c r="E8" s="40">
        <f t="shared" si="0"/>
        <v>5</v>
      </c>
      <c r="F8" s="60">
        <f t="shared" si="1"/>
        <v>43409</v>
      </c>
    </row>
    <row r="9" spans="2:6" ht="15.75" thickTop="1" x14ac:dyDescent="0.25">
      <c r="B9" s="44" t="s">
        <v>66</v>
      </c>
      <c r="C9" s="45">
        <v>43409</v>
      </c>
      <c r="D9" s="46">
        <v>128.47999999999999</v>
      </c>
      <c r="E9" s="40">
        <f t="shared" si="0"/>
        <v>5</v>
      </c>
      <c r="F9" s="60">
        <f t="shared" si="1"/>
        <v>43409</v>
      </c>
    </row>
    <row r="10" spans="2:6" x14ac:dyDescent="0.25">
      <c r="F10" s="11"/>
    </row>
    <row r="11" spans="2:6" x14ac:dyDescent="0.25">
      <c r="F11" s="11"/>
    </row>
    <row r="12" spans="2:6" x14ac:dyDescent="0.25">
      <c r="F12" s="11"/>
    </row>
    <row r="13" spans="2:6" x14ac:dyDescent="0.25">
      <c r="F13" s="11"/>
    </row>
    <row r="14" spans="2:6" x14ac:dyDescent="0.25">
      <c r="F14" s="11"/>
    </row>
    <row r="15" spans="2:6" x14ac:dyDescent="0.25">
      <c r="F15" s="11"/>
    </row>
    <row r="16" spans="2:6" x14ac:dyDescent="0.25">
      <c r="F16" s="11"/>
    </row>
    <row r="17" spans="6:6" x14ac:dyDescent="0.25">
      <c r="F17" s="11"/>
    </row>
    <row r="18" spans="6:6" x14ac:dyDescent="0.25">
      <c r="F18" s="11"/>
    </row>
    <row r="19" spans="6:6" x14ac:dyDescent="0.25">
      <c r="F19" s="11"/>
    </row>
    <row r="20" spans="6:6" x14ac:dyDescent="0.25">
      <c r="F20" s="11"/>
    </row>
    <row r="21" spans="6:6" x14ac:dyDescent="0.25">
      <c r="F21" s="11"/>
    </row>
    <row r="22" spans="6:6" x14ac:dyDescent="0.25">
      <c r="F22" s="11"/>
    </row>
    <row r="23" spans="6:6" x14ac:dyDescent="0.25">
      <c r="F23" s="11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A9F7-E31D-4C79-A45D-038D1E8D0D60}">
  <sheetPr>
    <tabColor rgb="FF00B050"/>
  </sheetPr>
  <dimension ref="B3:F15"/>
  <sheetViews>
    <sheetView workbookViewId="0">
      <selection activeCell="G8" sqref="G8"/>
    </sheetView>
  </sheetViews>
  <sheetFormatPr defaultRowHeight="15" x14ac:dyDescent="0.25"/>
  <cols>
    <col min="2" max="2" width="9.5703125" bestFit="1" customWidth="1"/>
    <col min="3" max="3" width="8.28515625" bestFit="1" customWidth="1"/>
    <col min="4" max="4" width="14" bestFit="1" customWidth="1"/>
    <col min="5" max="5" width="10.5703125" customWidth="1"/>
    <col min="6" max="6" width="39.5703125" bestFit="1" customWidth="1"/>
  </cols>
  <sheetData>
    <row r="3" spans="2:6" ht="15.75" thickBot="1" x14ac:dyDescent="0.3">
      <c r="B3" s="16" t="s">
        <v>67</v>
      </c>
      <c r="C3" s="16" t="s">
        <v>68</v>
      </c>
      <c r="D3" s="17" t="s">
        <v>69</v>
      </c>
      <c r="E3" s="17" t="s">
        <v>48</v>
      </c>
      <c r="F3" s="16" t="s">
        <v>59</v>
      </c>
    </row>
    <row r="4" spans="2:6" ht="15.75" thickTop="1" x14ac:dyDescent="0.25">
      <c r="B4" s="47">
        <v>12</v>
      </c>
      <c r="C4" s="25" t="s">
        <v>70</v>
      </c>
      <c r="D4" s="26">
        <v>43084</v>
      </c>
      <c r="E4" s="27">
        <f>YEAR(D4)</f>
        <v>2017</v>
      </c>
      <c r="F4" s="61">
        <f>D4</f>
        <v>43084</v>
      </c>
    </row>
    <row r="5" spans="2:6" x14ac:dyDescent="0.25">
      <c r="B5" s="48">
        <v>15</v>
      </c>
      <c r="C5" s="28" t="s">
        <v>71</v>
      </c>
      <c r="D5" s="29">
        <v>43145</v>
      </c>
      <c r="E5" s="30">
        <f t="shared" ref="E5:F10" si="0">YEAR(D5)</f>
        <v>2018</v>
      </c>
      <c r="F5" s="61">
        <f t="shared" ref="F5:F10" si="1">D5</f>
        <v>43145</v>
      </c>
    </row>
    <row r="6" spans="2:6" x14ac:dyDescent="0.25">
      <c r="B6" s="49">
        <v>18</v>
      </c>
      <c r="C6" s="31" t="s">
        <v>72</v>
      </c>
      <c r="D6" s="32">
        <v>43257</v>
      </c>
      <c r="E6" s="33">
        <f t="shared" si="0"/>
        <v>2018</v>
      </c>
      <c r="F6" s="61">
        <f t="shared" si="1"/>
        <v>43257</v>
      </c>
    </row>
    <row r="7" spans="2:6" x14ac:dyDescent="0.25">
      <c r="B7" s="48">
        <v>22</v>
      </c>
      <c r="C7" s="28" t="s">
        <v>73</v>
      </c>
      <c r="D7" s="29">
        <v>42230</v>
      </c>
      <c r="E7" s="30">
        <f t="shared" si="0"/>
        <v>2015</v>
      </c>
      <c r="F7" s="61">
        <f t="shared" si="1"/>
        <v>42230</v>
      </c>
    </row>
    <row r="8" spans="2:6" x14ac:dyDescent="0.25">
      <c r="B8" s="49">
        <v>32</v>
      </c>
      <c r="C8" s="31" t="s">
        <v>74</v>
      </c>
      <c r="D8" s="32">
        <v>40767</v>
      </c>
      <c r="E8" s="33">
        <f t="shared" si="0"/>
        <v>2011</v>
      </c>
      <c r="F8" s="61">
        <f t="shared" si="1"/>
        <v>40767</v>
      </c>
    </row>
    <row r="9" spans="2:6" x14ac:dyDescent="0.25">
      <c r="B9" s="48">
        <v>45</v>
      </c>
      <c r="C9" s="28" t="s">
        <v>75</v>
      </c>
      <c r="D9" s="29">
        <v>36910</v>
      </c>
      <c r="E9" s="30">
        <f t="shared" si="0"/>
        <v>2001</v>
      </c>
      <c r="F9" s="61">
        <f t="shared" si="1"/>
        <v>36910</v>
      </c>
    </row>
    <row r="10" spans="2:6" x14ac:dyDescent="0.25">
      <c r="B10" s="49">
        <v>88</v>
      </c>
      <c r="C10" s="31" t="s">
        <v>76</v>
      </c>
      <c r="D10" s="32">
        <v>39817</v>
      </c>
      <c r="E10" s="33">
        <f t="shared" si="0"/>
        <v>2009</v>
      </c>
      <c r="F10" s="61">
        <f t="shared" si="1"/>
        <v>39817</v>
      </c>
    </row>
    <row r="11" spans="2:6" x14ac:dyDescent="0.25">
      <c r="F11" s="50"/>
    </row>
    <row r="12" spans="2:6" x14ac:dyDescent="0.25">
      <c r="F12" s="11"/>
    </row>
    <row r="13" spans="2:6" x14ac:dyDescent="0.25">
      <c r="F13" s="11"/>
    </row>
    <row r="14" spans="2:6" x14ac:dyDescent="0.25">
      <c r="F14" s="11"/>
    </row>
    <row r="15" spans="2:6" x14ac:dyDescent="0.25">
      <c r="F15" s="11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Função Hoje</vt:lpstr>
      <vt:lpstr>Função Agora</vt:lpstr>
      <vt:lpstr>Hora | Minuto | Segundo</vt:lpstr>
      <vt:lpstr>Dia | Mês | Ano</vt:lpstr>
      <vt:lpstr>Função Data</vt:lpstr>
      <vt:lpstr>Desafio Mês</vt:lpstr>
      <vt:lpstr>Desafio Dia</vt:lpstr>
      <vt:lpstr>Desafio 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Lucas S. da Luz</dc:creator>
  <cp:lastModifiedBy>RICARDO LEITE DA SILVA ROCHA</cp:lastModifiedBy>
  <dcterms:created xsi:type="dcterms:W3CDTF">2025-11-12T22:30:22Z</dcterms:created>
  <dcterms:modified xsi:type="dcterms:W3CDTF">2025-11-12T23:58:03Z</dcterms:modified>
</cp:coreProperties>
</file>