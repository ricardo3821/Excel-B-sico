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8_{7576EA1E-1A6D-469F-AA0E-240DDE8095CB}" xr6:coauthVersionLast="36" xr6:coauthVersionMax="36" xr10:uidLastSave="{00000000-0000-0000-0000-000000000000}"/>
  <bookViews>
    <workbookView xWindow="0" yWindow="0" windowWidth="20490" windowHeight="7545" xr2:uid="{447F1343-AD13-4DB7-8752-304B5443C8A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Q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Y. Yto</author>
  </authors>
  <commentList>
    <comment ref="B3" authorId="0" shapeId="0" xr:uid="{1F87C7D5-B3B8-49ED-A483-70B00E8063F9}">
      <text>
        <r>
          <rPr>
            <b/>
            <sz val="9"/>
            <color indexed="81"/>
            <rFont val="Segoe UI"/>
            <family val="2"/>
          </rPr>
          <t>Fonte: Ministério da Educação</t>
        </r>
      </text>
    </comment>
  </commentList>
</comments>
</file>

<file path=xl/sharedStrings.xml><?xml version="1.0" encoding="utf-8"?>
<sst xmlns="http://schemas.openxmlformats.org/spreadsheetml/2006/main" count="17" uniqueCount="17">
  <si>
    <t>Auxílio Moradia dos Deputados em 2017</t>
  </si>
  <si>
    <t>Mês</t>
  </si>
  <si>
    <t>Auxílio Moradia</t>
  </si>
  <si>
    <t>Dezembro</t>
  </si>
  <si>
    <t>Novembro</t>
  </si>
  <si>
    <t>Outubro</t>
  </si>
  <si>
    <t>Setembro</t>
  </si>
  <si>
    <t>Agosto</t>
  </si>
  <si>
    <t>Julho</t>
  </si>
  <si>
    <t>Junho</t>
  </si>
  <si>
    <t>Maio</t>
  </si>
  <si>
    <t>Abril</t>
  </si>
  <si>
    <t>Março</t>
  </si>
  <si>
    <t>Fevereiro</t>
  </si>
  <si>
    <t>Janeiro</t>
  </si>
  <si>
    <t>Média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</si>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</sst>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3" fontId="0" fillId="4" borderId="3" xfId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43" fontId="0" fillId="5" borderId="5" xfId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3" fontId="0" fillId="4" borderId="5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3" fontId="2" fillId="3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'[1]Média auxilio moradia 2017'!$B$3</c:f>
          <c:strCache>
            <c:ptCount val="1"/>
            <c:pt idx="0">
              <c:v>Auxílio Moradia dos Deputados em 2017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'[1]Média auxilio moradia 2017'!$C$4</c:f>
              <c:strCache>
                <c:ptCount val="1"/>
                <c:pt idx="0">
                  <c:v>Auxílio Moradia</c:v>
                </c:pt>
              </c:strCache>
            </c:strRef>
          </c:tx>
          <c:spPr>
            <a:ln w="38100" cap="flat" cmpd="dbl" algn="ctr">
              <a:solidFill>
                <a:schemeClr val="accent6"/>
              </a:solidFill>
              <a:miter lim="800000"/>
            </a:ln>
            <a:effectLst/>
          </c:spPr>
          <c:marker>
            <c:symbol val="none"/>
          </c:marker>
          <c:cat>
            <c:strRef>
              <c:f>'[1]Média auxilio moradia 2017'!$B$5:$B$16</c:f>
              <c:strCache>
                <c:ptCount val="12"/>
                <c:pt idx="0">
                  <c:v>Dezembro</c:v>
                </c:pt>
                <c:pt idx="1">
                  <c:v>Novembro</c:v>
                </c:pt>
                <c:pt idx="2">
                  <c:v>Outubro</c:v>
                </c:pt>
                <c:pt idx="3">
                  <c:v>Setembro</c:v>
                </c:pt>
                <c:pt idx="4">
                  <c:v>Agosto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Abril</c:v>
                </c:pt>
                <c:pt idx="9">
                  <c:v>Março</c:v>
                </c:pt>
                <c:pt idx="10">
                  <c:v>Fevereiro</c:v>
                </c:pt>
                <c:pt idx="11">
                  <c:v>Janeiro</c:v>
                </c:pt>
              </c:strCache>
            </c:strRef>
          </c:cat>
          <c:val>
            <c:numRef>
              <c:f>'[1]Média auxilio moradia 2017'!$C$5:$C$16</c:f>
              <c:numCache>
                <c:formatCode>General</c:formatCode>
                <c:ptCount val="12"/>
                <c:pt idx="0">
                  <c:v>219522.97</c:v>
                </c:pt>
                <c:pt idx="1">
                  <c:v>175745.67</c:v>
                </c:pt>
                <c:pt idx="2">
                  <c:v>175617.61</c:v>
                </c:pt>
                <c:pt idx="3">
                  <c:v>175617.61</c:v>
                </c:pt>
                <c:pt idx="4">
                  <c:v>175039.88</c:v>
                </c:pt>
                <c:pt idx="5">
                  <c:v>188173.07</c:v>
                </c:pt>
                <c:pt idx="6">
                  <c:v>175039.88</c:v>
                </c:pt>
                <c:pt idx="7">
                  <c:v>175039.88</c:v>
                </c:pt>
                <c:pt idx="8">
                  <c:v>192550.8</c:v>
                </c:pt>
                <c:pt idx="9">
                  <c:v>179417.61</c:v>
                </c:pt>
                <c:pt idx="10">
                  <c:v>168241.63</c:v>
                </c:pt>
                <c:pt idx="11">
                  <c:v>163989.10999999999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F-44B8-934D-07955744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196136"/>
        <c:axId val="716199416"/>
      </c:lineChart>
      <c:catAx>
        <c:axId val="71619613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199416"/>
        <c:crosses val="autoZero"/>
        <c:auto val="1"/>
        <c:lblAlgn val="ctr"/>
        <c:lblOffset val="100"/>
        <c:noMultiLvlLbl val="0"/>
      </c:catAx>
      <c:valAx>
        <c:axId val="716199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19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10</xdr:row>
      <xdr:rowOff>95250</xdr:rowOff>
    </xdr:from>
    <xdr:to>
      <xdr:col>17</xdr:col>
      <xdr:colOff>114300</xdr:colOff>
      <xdr:row>21</xdr:row>
      <xdr:rowOff>66676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A28BE8-1CAC-40AE-8EF4-0895004FE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0</xdr:colOff>
      <xdr:row>2</xdr:row>
      <xdr:rowOff>0</xdr:rowOff>
    </xdr:from>
    <xdr:to>
      <xdr:col>13</xdr:col>
      <xdr:colOff>590550</xdr:colOff>
      <xdr:row>9</xdr:row>
      <xdr:rowOff>129540</xdr:rowOff>
    </xdr:to>
    <xdr:grpSp>
      <xdr:nvGrpSpPr>
        <xdr:cNvPr id="15" name="Grupo 105">
          <a:extLst>
            <a:ext uri="{FF2B5EF4-FFF2-40B4-BE49-F238E27FC236}">
              <a16:creationId xmlns:a16="http://schemas.microsoft.com/office/drawing/2014/main" id="{38C41019-5538-4028-941B-B22EFB46233B}"/>
            </a:ext>
          </a:extLst>
        </xdr:cNvPr>
        <xdr:cNvGrpSpPr/>
      </xdr:nvGrpSpPr>
      <xdr:grpSpPr>
        <a:xfrm>
          <a:off x="4352925" y="381000"/>
          <a:ext cx="5467350" cy="1482090"/>
          <a:chOff x="333375" y="276185"/>
          <a:chExt cx="5695950" cy="2416418"/>
        </a:xfrm>
      </xdr:grpSpPr>
      <xdr:grpSp>
        <xdr:nvGrpSpPr>
          <xdr:cNvPr id="16" name="Instrução Adicionar números">
            <a:extLst>
              <a:ext uri="{FF2B5EF4-FFF2-40B4-BE49-F238E27FC236}">
                <a16:creationId xmlns:a16="http://schemas.microsoft.com/office/drawing/2014/main" id="{B1FC52D0-2F25-4890-A1E0-B6E85123BAD4}"/>
              </a:ext>
            </a:extLst>
          </xdr:cNvPr>
          <xdr:cNvGrpSpPr/>
        </xdr:nvGrpSpPr>
        <xdr:grpSpPr>
          <a:xfrm>
            <a:off x="333375" y="276185"/>
            <a:ext cx="5695950" cy="2416418"/>
            <a:chOff x="0" y="9584"/>
            <a:chExt cx="5695950" cy="2441589"/>
          </a:xfrm>
        </xdr:grpSpPr>
        <xdr:sp macro="" textlink="">
          <xdr:nvSpPr>
            <xdr:cNvPr id="18" name="Plano de Fundo" descr="Plano de Fundo">
              <a:extLst>
                <a:ext uri="{FF2B5EF4-FFF2-40B4-BE49-F238E27FC236}">
                  <a16:creationId xmlns:a16="http://schemas.microsoft.com/office/drawing/2014/main" id="{C4F9DF4F-FBBE-4938-B191-B57BD72257F3}"/>
                </a:ext>
              </a:extLst>
            </xdr:cNvPr>
            <xdr:cNvSpPr/>
          </xdr:nvSpPr>
          <xdr:spPr>
            <a:xfrm>
              <a:off x="0" y="9584"/>
              <a:ext cx="5695950" cy="2441589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sz="1100"/>
            </a:p>
          </xdr:txBody>
        </xdr:sp>
        <xdr:sp macro="" textlink="">
          <xdr:nvSpPr>
            <xdr:cNvPr id="19" name="Etapa" descr="Noções básicas: fazer cálculos no Excel&#10;">
              <a:extLst>
                <a:ext uri="{FF2B5EF4-FFF2-40B4-BE49-F238E27FC236}">
                  <a16:creationId xmlns:a16="http://schemas.microsoft.com/office/drawing/2014/main" id="{408824FE-2F02-41AC-8444-6A8EFBFEFB4A}"/>
                </a:ext>
              </a:extLst>
            </xdr:cNvPr>
            <xdr:cNvSpPr txBox="1"/>
          </xdr:nvSpPr>
          <xdr:spPr>
            <a:xfrm>
              <a:off x="184433" y="118698"/>
              <a:ext cx="5216551" cy="49090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lIns="0" rIns="0" rtlCol="0" anchor="t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pt-br" sz="2200" b="0" i="0" u="none" strike="noStrike" kern="0" cap="none" spc="0" normalizeH="0" baseline="0">
                  <a:ln>
                    <a:noFill/>
                  </a:ln>
                  <a:solidFill>
                    <a:schemeClr val="bg2">
                      <a:lumMod val="25000"/>
                    </a:schemeClr>
                  </a:solidFill>
                  <a:effectLst/>
                  <a:uLnTx/>
                  <a:uFillTx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Nesta atividade</a:t>
              </a:r>
              <a:endParaRPr kumimoji="0" lang="en-US" sz="2200" b="1" i="1" u="none" strike="noStrike" kern="0" cap="none" spc="0" normalizeH="0" baseline="0">
                <a:ln>
                  <a:noFill/>
                </a:ln>
                <a:solidFill>
                  <a:schemeClr val="bg2">
                    <a:lumMod val="25000"/>
                  </a:schemeClr>
                </a:solidFill>
                <a:effectLst/>
                <a:uLnTx/>
                <a:uFillTx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cxnSp macro="">
          <xdr:nvCxnSpPr>
            <xdr:cNvPr id="20" name="Linha superior" descr="Linha decorativa">
              <a:extLst>
                <a:ext uri="{FF2B5EF4-FFF2-40B4-BE49-F238E27FC236}">
                  <a16:creationId xmlns:a16="http://schemas.microsoft.com/office/drawing/2014/main" id="{4CDDD52C-CC6A-4CDD-8FAB-7F45A5350F5A}"/>
                </a:ext>
              </a:extLst>
            </xdr:cNvPr>
            <xdr:cNvCxnSpPr>
              <a:cxnSpLocks/>
            </xdr:cNvCxnSpPr>
          </xdr:nvCxnSpPr>
          <xdr:spPr>
            <a:xfrm>
              <a:off x="174977" y="909554"/>
              <a:ext cx="5213376" cy="0"/>
            </a:xfrm>
            <a:prstGeom prst="line">
              <a:avLst/>
            </a:prstGeom>
            <a:ln w="25400">
              <a:solidFill>
                <a:srgbClr val="217346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7" name="txt_Etapa" descr="Você pode somar, subtrair, multiplicar e dividir no Excel sem usar as funções internas. Basta usar os operadores +, -, * e /. Todas as fórmulas começam com um sinal de igual (=).">
            <a:extLst>
              <a:ext uri="{FF2B5EF4-FFF2-40B4-BE49-F238E27FC236}">
                <a16:creationId xmlns:a16="http://schemas.microsoft.com/office/drawing/2014/main" id="{DBA242EA-04B1-4E77-AEE9-F76E3CA33A98}"/>
              </a:ext>
            </a:extLst>
          </xdr:cNvPr>
          <xdr:cNvSpPr txBox="1"/>
        </xdr:nvSpPr>
        <xdr:spPr>
          <a:xfrm>
            <a:off x="442289" y="1274979"/>
            <a:ext cx="5284985" cy="951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Calcular a média dos meses de 2017 do auxílio moradia dos deputados.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hur%20Lucas/Desktop/01%20AULAS/EXCEL%20Basico/Base/Excel+para+Iniciantes+(atualizad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ste Treinamento"/>
      <sheetName val="CAP 01 - FORMATAÇÃO DE DADOS"/>
      <sheetName val="Área de Trabalho do Excel"/>
      <sheetName val="Deslocamento | Seleção | Mover"/>
      <sheetName val="Alça de Preenchimento"/>
      <sheetName val="Área de Transferência"/>
      <sheetName val="Fonte, Alinhamento e Número"/>
      <sheetName val="Grupo Células"/>
      <sheetName val="Grupo Edição"/>
      <sheetName val="Classificar e Filtrar Básico"/>
      <sheetName val="Preenchimento Relâmpago"/>
      <sheetName val="Desafio - CAP 01"/>
      <sheetName val="CAP 02 - TABELAS e SEGMENTAÇÕES"/>
      <sheetName val="Formatar como Tabela"/>
      <sheetName val="Segmentação de dados"/>
      <sheetName val="Enunciado Desafio - CAP 02"/>
      <sheetName val="Resolução do Desafio - CAP 02"/>
      <sheetName val="CAP 03 - CÁLCULOS NO EXCEL"/>
      <sheetName val="Noções básicas"/>
      <sheetName val="Adição"/>
      <sheetName val="Subtração"/>
      <sheetName val="Multiplicação"/>
      <sheetName val="Divisão"/>
      <sheetName val="Enunciado Desafio - CAP 03"/>
      <sheetName val="Resolução do Desafio - CAP  03"/>
      <sheetName val="CAP 04 - FUNÇÕES ESSENCIAIS"/>
      <sheetName val="Soma (Orçamento Doméstico)"/>
      <sheetName val="Soma (Custos de Escritório)"/>
      <sheetName val="Média Salarial"/>
      <sheetName val="Média Piso Salarial Nacional"/>
      <sheetName val="Média auxilio moradia 2017"/>
      <sheetName val="Máximo e Mínimo"/>
      <sheetName val="Cont.núm | Contar.vazio"/>
      <sheetName val="SomarProduto | Custo de Serviço"/>
      <sheetName val="SomarProduto | Itens"/>
      <sheetName val="Desafio Filiais"/>
      <sheetName val="Desafio Metas"/>
      <sheetName val="CAP 05 - TRATAMENTO DE NÚMEROS"/>
      <sheetName val="FUNÇÃO ARRED"/>
      <sheetName val="Descontos e Acréscimos Salário"/>
      <sheetName val="Parte Inteira (INT)"/>
      <sheetName val="Módulo ABS"/>
      <sheetName val="Desafio Capítulo Tratamento"/>
      <sheetName val="CAP 06 - CÁLCULOS DATA E HORA"/>
      <sheetName val="Entenda os cálculos data|hora"/>
      <sheetName val="Horas trabalhadas"/>
      <sheetName val="Reforma de Casa"/>
      <sheetName val="Cálculo de data"/>
      <sheetName val="Cálculo Hora"/>
      <sheetName val="Desafio Cálculos Data e Hora"/>
      <sheetName val="Desafio - Folha de Ponto"/>
      <sheetName val="CAP 07 - FUNÇÕES DATA E HORA"/>
      <sheetName val="Função Hoje"/>
      <sheetName val="Função Agora"/>
      <sheetName val="Hora | Minuto | Segundo"/>
      <sheetName val="Dia | Mês | Ano"/>
      <sheetName val="Função Data"/>
      <sheetName val="Desafio Mês"/>
      <sheetName val="Desafio Dia"/>
      <sheetName val="Desafio Ano"/>
      <sheetName val="Desafio Funções Data e Hora"/>
      <sheetName val="CAP 08 - FUNÇÕES TEXTO"/>
      <sheetName val="Funções de texto"/>
      <sheetName val="Arrumar"/>
      <sheetName val="Concatenar"/>
      <sheetName val="UnirTexto 1"/>
      <sheetName val="Unirtexto 2"/>
      <sheetName val="Desafio Final Funções Texto"/>
      <sheetName val="CAP 09 - Função SE"/>
      <sheetName val="Sinais na função Se"/>
      <sheetName val="Entendendo a Função Se"/>
      <sheetName val="Função Se Simples I"/>
      <sheetName val="Função Se Simples II"/>
      <sheetName val="Função Se - Desafio I"/>
      <sheetName val="Função Se Desafio II"/>
      <sheetName val="CAP 10 - GRÁFICOS"/>
      <sheetName val="Gráfico I"/>
      <sheetName val="Gráfico II"/>
      <sheetName val="Gráf. Vendas Região (Treemap)"/>
      <sheetName val="Gráf. Diagrama de Pareto"/>
      <sheetName val="Desafio Gráficos"/>
      <sheetName val="Painel Desafio Gráficos"/>
      <sheetName val="CAP 11 - CLASSIFICAÇÃO E FILTRO"/>
      <sheetName val="Classificação e Filtro"/>
      <sheetName val="Filtro na Segmentação de dados"/>
      <sheetName val="Filtro de dados por cor"/>
      <sheetName val="Classificação Personalizada"/>
      <sheetName val="CAP 12 - IMPRESSÃO"/>
      <sheetName val="Configuração de Página"/>
      <sheetName val="Quebras"/>
      <sheetName val="Imprimir Títulos"/>
      <sheetName val="Modos de Exibição"/>
      <sheetName val="Congelar Painéis"/>
      <sheetName val="Informações Import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B2" t="str">
            <v>Média Salarial 2015 - 2017</v>
          </cell>
        </row>
      </sheetData>
      <sheetData sheetId="29">
        <row r="1">
          <cell r="A1" t="str">
            <v>Piso Salarial Nacional 2009 - 2018</v>
          </cell>
        </row>
      </sheetData>
      <sheetData sheetId="30">
        <row r="3">
          <cell r="B3" t="str">
            <v>Auxílio Moradia dos Deputados em 2017</v>
          </cell>
        </row>
        <row r="4">
          <cell r="C4" t="str">
            <v>Auxílio Moradia</v>
          </cell>
        </row>
        <row r="5">
          <cell r="B5" t="str">
            <v>Dezembro</v>
          </cell>
          <cell r="C5">
            <v>219522.97</v>
          </cell>
        </row>
        <row r="6">
          <cell r="B6" t="str">
            <v>Novembro</v>
          </cell>
          <cell r="C6">
            <v>175745.67</v>
          </cell>
        </row>
        <row r="7">
          <cell r="B7" t="str">
            <v>Outubro</v>
          </cell>
          <cell r="C7">
            <v>175617.61</v>
          </cell>
        </row>
        <row r="8">
          <cell r="B8" t="str">
            <v>Setembro</v>
          </cell>
          <cell r="C8">
            <v>175617.61</v>
          </cell>
        </row>
        <row r="9">
          <cell r="B9" t="str">
            <v>Agosto</v>
          </cell>
          <cell r="C9">
            <v>175039.88</v>
          </cell>
        </row>
        <row r="10">
          <cell r="B10" t="str">
            <v>Julho</v>
          </cell>
          <cell r="C10">
            <v>188173.07</v>
          </cell>
        </row>
        <row r="11">
          <cell r="B11" t="str">
            <v>Junho</v>
          </cell>
          <cell r="C11">
            <v>175039.88</v>
          </cell>
        </row>
        <row r="12">
          <cell r="B12" t="str">
            <v>Maio</v>
          </cell>
          <cell r="C12">
            <v>175039.88</v>
          </cell>
        </row>
        <row r="13">
          <cell r="B13" t="str">
            <v>Abril</v>
          </cell>
          <cell r="C13">
            <v>192550.8</v>
          </cell>
        </row>
        <row r="14">
          <cell r="B14" t="str">
            <v>Março</v>
          </cell>
          <cell r="C14">
            <v>179417.61</v>
          </cell>
        </row>
        <row r="15">
          <cell r="B15" t="str">
            <v>Fevereiro</v>
          </cell>
          <cell r="C15">
            <v>168241.63</v>
          </cell>
        </row>
        <row r="16">
          <cell r="B16" t="str">
            <v>Janeiro</v>
          </cell>
          <cell r="C16">
            <v>163989.10999999999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B093-8789-4457-9863-D7B0B2E113E7}">
  <dimension ref="B3:Q18"/>
  <sheetViews>
    <sheetView tabSelected="1" workbookViewId="0">
      <selection activeCell="C18" sqref="C18"/>
    </sheetView>
  </sheetViews>
  <sheetFormatPr defaultRowHeight="15" x14ac:dyDescent="0.25"/>
  <cols>
    <col min="2" max="2" width="21.5703125" customWidth="1"/>
    <col min="3" max="3" width="16.28515625" customWidth="1"/>
    <col min="17" max="17" width="11.5703125" bestFit="1" customWidth="1"/>
  </cols>
  <sheetData>
    <row r="3" spans="2:17" x14ac:dyDescent="0.25">
      <c r="B3" s="11" t="s">
        <v>0</v>
      </c>
      <c r="C3" s="11"/>
    </row>
    <row r="4" spans="2:17" ht="15.75" thickBot="1" x14ac:dyDescent="0.3">
      <c r="B4" s="1" t="s">
        <v>1</v>
      </c>
      <c r="C4" s="2" t="s">
        <v>2</v>
      </c>
    </row>
    <row r="5" spans="2:17" ht="15.75" thickTop="1" x14ac:dyDescent="0.25">
      <c r="B5" s="3" t="s">
        <v>3</v>
      </c>
      <c r="C5" s="4">
        <v>219522.97</v>
      </c>
    </row>
    <row r="6" spans="2:17" x14ac:dyDescent="0.25">
      <c r="B6" s="5" t="s">
        <v>4</v>
      </c>
      <c r="C6" s="6">
        <v>175745.67</v>
      </c>
    </row>
    <row r="7" spans="2:17" x14ac:dyDescent="0.25">
      <c r="B7" s="7" t="s">
        <v>5</v>
      </c>
      <c r="C7" s="8">
        <v>175617.61</v>
      </c>
    </row>
    <row r="8" spans="2:17" x14ac:dyDescent="0.25">
      <c r="B8" s="5" t="s">
        <v>6</v>
      </c>
      <c r="C8" s="6">
        <v>175617.61</v>
      </c>
      <c r="Q8" s="12">
        <f>AVERAGE(C5:C16)</f>
        <v>180332.97666666665</v>
      </c>
    </row>
    <row r="9" spans="2:17" x14ac:dyDescent="0.25">
      <c r="B9" s="7" t="s">
        <v>7</v>
      </c>
      <c r="C9" s="8">
        <v>175039.88</v>
      </c>
    </row>
    <row r="10" spans="2:17" x14ac:dyDescent="0.25">
      <c r="B10" s="5" t="s">
        <v>8</v>
      </c>
      <c r="C10" s="6">
        <v>188173.07</v>
      </c>
    </row>
    <row r="11" spans="2:17" x14ac:dyDescent="0.25">
      <c r="B11" s="7" t="s">
        <v>9</v>
      </c>
      <c r="C11" s="8">
        <v>175039.88</v>
      </c>
    </row>
    <row r="12" spans="2:17" x14ac:dyDescent="0.25">
      <c r="B12" s="5" t="s">
        <v>10</v>
      </c>
      <c r="C12" s="6">
        <v>175039.88</v>
      </c>
    </row>
    <row r="13" spans="2:17" x14ac:dyDescent="0.25">
      <c r="B13" s="7" t="s">
        <v>11</v>
      </c>
      <c r="C13" s="8">
        <v>192550.8</v>
      </c>
    </row>
    <row r="14" spans="2:17" x14ac:dyDescent="0.25">
      <c r="B14" s="5" t="s">
        <v>12</v>
      </c>
      <c r="C14" s="6">
        <v>179417.61</v>
      </c>
    </row>
    <row r="15" spans="2:17" x14ac:dyDescent="0.25">
      <c r="B15" s="7" t="s">
        <v>13</v>
      </c>
      <c r="C15" s="8">
        <v>168241.63</v>
      </c>
    </row>
    <row r="16" spans="2:17" ht="15.75" thickBot="1" x14ac:dyDescent="0.3">
      <c r="B16" s="5" t="s">
        <v>14</v>
      </c>
      <c r="C16" s="6">
        <v>163989.10999999999</v>
      </c>
    </row>
    <row r="17" spans="2:3" ht="16.5" thickTop="1" thickBot="1" x14ac:dyDescent="0.3">
      <c r="B17" s="9" t="s">
        <v>15</v>
      </c>
      <c r="C17" s="10">
        <f>AVERAGE(C5:C16)</f>
        <v>180332.97666666665</v>
      </c>
    </row>
    <row r="18" spans="2:3" x14ac:dyDescent="0.25">
      <c r="C18" t="s">
        <v>16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2025-11-07T20:44:48Z</dcterms:created>
  <dcterms:modified xsi:type="dcterms:W3CDTF">2025-11-07T23:21:30Z</dcterms:modified>
</cp:coreProperties>
</file>