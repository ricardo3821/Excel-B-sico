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13_ncr:1_{F371331D-F556-4F80-B75B-D227D6D88B1F}" xr6:coauthVersionLast="36" xr6:coauthVersionMax="47" xr10:uidLastSave="{00000000-0000-0000-0000-000000000000}"/>
  <bookViews>
    <workbookView xWindow="0" yWindow="0" windowWidth="15345" windowHeight="4470" firstSheet="3" activeTab="7" xr2:uid="{B59A90C1-7DD2-420A-B5F5-F21EDBFF5061}"/>
  </bookViews>
  <sheets>
    <sheet name="Parte Inteira (INT)" sheetId="1" r:id="rId1"/>
    <sheet name="Módulo ABS" sheetId="2" r:id="rId2"/>
    <sheet name="Planilha3" sheetId="3" r:id="rId3"/>
    <sheet name="Horas trabalhadas" sheetId="4" r:id="rId4"/>
    <sheet name="Reforma de Casa" sheetId="5" r:id="rId5"/>
    <sheet name="Cálculo de data" sheetId="6" r:id="rId6"/>
    <sheet name="Gráfico1" sheetId="8" r:id="rId7"/>
    <sheet name="Cálculo Hora Pizza" sheetId="7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7" l="1"/>
  <c r="F6" i="7"/>
  <c r="F7" i="7"/>
  <c r="F8" i="7"/>
  <c r="F9" i="7"/>
  <c r="F10" i="7"/>
  <c r="F11" i="7"/>
  <c r="F12" i="7"/>
  <c r="F13" i="7"/>
  <c r="F4" i="7"/>
  <c r="F5" i="6"/>
  <c r="F6" i="6"/>
  <c r="F7" i="6"/>
  <c r="F8" i="6"/>
  <c r="F9" i="6"/>
  <c r="F10" i="6"/>
  <c r="F11" i="6"/>
  <c r="F12" i="6"/>
  <c r="F13" i="6"/>
  <c r="F14" i="6"/>
  <c r="M5" i="6"/>
  <c r="M6" i="6"/>
  <c r="M7" i="6"/>
  <c r="D13" i="5"/>
  <c r="D14" i="5"/>
  <c r="D15" i="5"/>
  <c r="D16" i="5"/>
  <c r="D17" i="5"/>
  <c r="C7" i="5"/>
  <c r="D5" i="1"/>
  <c r="D6" i="1"/>
  <c r="D7" i="1"/>
  <c r="D8" i="1"/>
  <c r="D9" i="1"/>
  <c r="D10" i="1"/>
  <c r="D11" i="1"/>
  <c r="D12" i="1"/>
  <c r="D13" i="1"/>
  <c r="D14" i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6" i="2"/>
  <c r="D7" i="2"/>
  <c r="D8" i="2"/>
  <c r="D5" i="2"/>
  <c r="L6" i="6" l="1"/>
  <c r="L7" i="6" s="1"/>
  <c r="K6" i="6"/>
  <c r="K7" i="6" s="1"/>
  <c r="A7" i="5"/>
  <c r="B7" i="5"/>
  <c r="F18" i="5"/>
  <c r="E18" i="5"/>
  <c r="F7" i="5"/>
  <c r="E7" i="5"/>
  <c r="D7" i="5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</calcChain>
</file>

<file path=xl/sharedStrings.xml><?xml version="1.0" encoding="utf-8"?>
<sst xmlns="http://schemas.openxmlformats.org/spreadsheetml/2006/main" count="86" uniqueCount="80">
  <si>
    <t>Valores de Entrada</t>
  </si>
  <si>
    <t>Colaborador</t>
  </si>
  <si>
    <t>Salário</t>
  </si>
  <si>
    <t>Valor Absoluto</t>
  </si>
  <si>
    <t>Eduardo</t>
  </si>
  <si>
    <t>Luzinete</t>
  </si>
  <si>
    <t>Tállia</t>
  </si>
  <si>
    <t>Victor</t>
  </si>
  <si>
    <t>Despesas</t>
  </si>
  <si>
    <t>Planejado</t>
  </si>
  <si>
    <t>Realizado</t>
  </si>
  <si>
    <t>Diferença</t>
  </si>
  <si>
    <t>Margem de Erro</t>
  </si>
  <si>
    <t>Despesa  01</t>
  </si>
  <si>
    <t>Despesa  02</t>
  </si>
  <si>
    <t>Despesa  03</t>
  </si>
  <si>
    <t>Despesa  04</t>
  </si>
  <si>
    <t>Despesa  05</t>
  </si>
  <si>
    <t>Despesa  06</t>
  </si>
  <si>
    <t>Empresa</t>
  </si>
  <si>
    <t>Arthur Treinamentos</t>
  </si>
  <si>
    <t>Funcionário</t>
  </si>
  <si>
    <t>Arthur Lucas</t>
  </si>
  <si>
    <t>Hora Entrada</t>
  </si>
  <si>
    <t>Hora Saída</t>
  </si>
  <si>
    <t>Horas trabalhadas</t>
  </si>
  <si>
    <t>1. Quantos dias diretos durou a obra de reforma da casa?</t>
  </si>
  <si>
    <t>Início da Obra</t>
  </si>
  <si>
    <t>Término da Obra</t>
  </si>
  <si>
    <t>Duração direta</t>
  </si>
  <si>
    <t>Custo Previsto</t>
  </si>
  <si>
    <t>Custo Realizado</t>
  </si>
  <si>
    <t>Reforma da casa</t>
  </si>
  <si>
    <t>Cômodo</t>
  </si>
  <si>
    <t>Início</t>
  </si>
  <si>
    <t>Término</t>
  </si>
  <si>
    <t>Dias</t>
  </si>
  <si>
    <t>Sala</t>
  </si>
  <si>
    <t>Quarto Casal</t>
  </si>
  <si>
    <t>Quarto crianças</t>
  </si>
  <si>
    <t>Cozinha</t>
  </si>
  <si>
    <t>Banheiro</t>
  </si>
  <si>
    <t>Total</t>
  </si>
  <si>
    <t>Funcionários desligados</t>
  </si>
  <si>
    <t>Planejado x Realizado [Dias de Atraso]</t>
  </si>
  <si>
    <t>Data entrada</t>
  </si>
  <si>
    <t>Dias Trabalhados</t>
  </si>
  <si>
    <t>Data de Saída</t>
  </si>
  <si>
    <t>Atividade</t>
  </si>
  <si>
    <t>Data planejada</t>
  </si>
  <si>
    <t>Data real</t>
  </si>
  <si>
    <t>Dias de Atraso</t>
  </si>
  <si>
    <t>Amélia</t>
  </si>
  <si>
    <t>Marcar</t>
  </si>
  <si>
    <t>Arthur</t>
  </si>
  <si>
    <t>Escavar</t>
  </si>
  <si>
    <t>Carmen</t>
  </si>
  <si>
    <t>Concretar</t>
  </si>
  <si>
    <t>Carolina</t>
  </si>
  <si>
    <t>Davi</t>
  </si>
  <si>
    <t>Joana</t>
  </si>
  <si>
    <t>Larissa</t>
  </si>
  <si>
    <t>Thiago</t>
  </si>
  <si>
    <t>Pizzaria Que fome</t>
  </si>
  <si>
    <t>Pedido</t>
  </si>
  <si>
    <t>Saída</t>
  </si>
  <si>
    <t>Entrega</t>
  </si>
  <si>
    <t>Total em horas</t>
  </si>
  <si>
    <t>PEDIDO A</t>
  </si>
  <si>
    <t>PEDIDO B</t>
  </si>
  <si>
    <t>PEDIDO C</t>
  </si>
  <si>
    <t>PEDIDO D</t>
  </si>
  <si>
    <t>PEDIDO E</t>
  </si>
  <si>
    <t>PEDIDO F</t>
  </si>
  <si>
    <t>Média de tempo</t>
  </si>
  <si>
    <t>PEDIDO G</t>
  </si>
  <si>
    <t>PEDIDO H</t>
  </si>
  <si>
    <t>PEDIDO I</t>
  </si>
  <si>
    <t>PEDIDO J</t>
  </si>
  <si>
    <t>valores de saida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</si>
</sst>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\ hh:mm"/>
    <numFmt numFmtId="165" formatCode="[$-F400]h:mm:ss\ AM/PM"/>
    <numFmt numFmtId="166" formatCode="[h]:mm:ss;@"/>
    <numFmt numFmtId="172" formatCode="00\ &quot;dias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0070C0"/>
        <bgColor theme="9"/>
      </patternFill>
    </fill>
    <fill>
      <patternFill patternType="solid">
        <fgColor rgb="FF0070C0"/>
        <bgColor indexed="64"/>
      </patternFill>
    </fill>
  </fills>
  <borders count="21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theme="4" tint="0.39997558519241921"/>
      </bottom>
      <diagonal/>
    </border>
    <border>
      <left style="medium">
        <color rgb="FFFF0000"/>
      </left>
      <right style="medium">
        <color rgb="FFFF0000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F0000"/>
      </left>
      <right style="medium">
        <color rgb="FFFF0000"/>
      </right>
      <top style="thin">
        <color theme="4" tint="0.39997558519241921"/>
      </top>
      <bottom style="medium">
        <color rgb="FFFF0000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44" fontId="0" fillId="4" borderId="4" xfId="2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4" fontId="0" fillId="3" borderId="4" xfId="2" applyFont="1" applyFill="1" applyBorder="1" applyAlignment="1">
      <alignment horizontal="center" vertical="center"/>
    </xf>
    <xf numFmtId="0" fontId="2" fillId="0" borderId="0" xfId="0" applyFont="1"/>
    <xf numFmtId="43" fontId="0" fillId="0" borderId="0" xfId="1" applyFont="1" applyFill="1" applyBorder="1"/>
    <xf numFmtId="43" fontId="0" fillId="0" borderId="0" xfId="0" applyNumberFormat="1"/>
    <xf numFmtId="10" fontId="0" fillId="0" borderId="0" xfId="3" applyNumberFormat="1" applyFont="1" applyFill="1" applyBorder="1"/>
    <xf numFmtId="0" fontId="4" fillId="5" borderId="5" xfId="0" applyFont="1" applyFill="1" applyBorder="1"/>
    <xf numFmtId="0" fontId="2" fillId="2" borderId="8" xfId="0" applyFon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165" fontId="0" fillId="4" borderId="10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165" fontId="0" fillId="3" borderId="11" xfId="0" applyNumberFormat="1" applyFill="1" applyBorder="1" applyAlignment="1">
      <alignment horizontal="center" vertical="center"/>
    </xf>
    <xf numFmtId="165" fontId="0" fillId="4" borderId="11" xfId="0" applyNumberFormat="1" applyFill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14" fontId="0" fillId="7" borderId="15" xfId="0" applyNumberFormat="1" applyFill="1" applyBorder="1" applyAlignment="1">
      <alignment horizontal="center" vertical="center"/>
    </xf>
    <xf numFmtId="44" fontId="0" fillId="7" borderId="17" xfId="2" applyFont="1" applyFill="1" applyBorder="1" applyAlignment="1">
      <alignment horizontal="center" vertical="center"/>
    </xf>
    <xf numFmtId="44" fontId="0" fillId="7" borderId="15" xfId="2" applyFont="1" applyFill="1" applyBorder="1" applyAlignment="1">
      <alignment horizontal="center" vertical="center"/>
    </xf>
    <xf numFmtId="44" fontId="0" fillId="7" borderId="18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5" fontId="0" fillId="0" borderId="0" xfId="0" applyNumberFormat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14" fontId="7" fillId="0" borderId="0" xfId="0" applyNumberFormat="1" applyFont="1"/>
    <xf numFmtId="172" fontId="0" fillId="7" borderId="16" xfId="0" applyNumberFormat="1" applyFill="1" applyBorder="1" applyAlignment="1">
      <alignment horizontal="center" vertical="center"/>
    </xf>
    <xf numFmtId="172" fontId="0" fillId="0" borderId="2" xfId="0" applyNumberFormat="1" applyBorder="1" applyAlignment="1">
      <alignment horizontal="center" vertical="center"/>
    </xf>
    <xf numFmtId="172" fontId="0" fillId="0" borderId="19" xfId="0" applyNumberFormat="1" applyBorder="1" applyAlignment="1">
      <alignment horizontal="center" vertical="center"/>
    </xf>
    <xf numFmtId="172" fontId="0" fillId="0" borderId="20" xfId="0" applyNumberFormat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0">
    <dxf>
      <numFmt numFmtId="166" formatCode="[h]:mm:ss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72" formatCode="00\ &quot;dias&quot;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165" formatCode="[$-F400]h:mm:ss\ AM/PM"/>
    </dxf>
    <dxf>
      <numFmt numFmtId="27" formatCode="dd/mm/yyyy\ 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431600"/>
        <c:axId val="476365840"/>
      </c:barChart>
      <c:catAx>
        <c:axId val="595431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6365840"/>
        <c:crosses val="autoZero"/>
        <c:auto val="1"/>
        <c:lblAlgn val="ctr"/>
        <c:lblOffset val="100"/>
        <c:noMultiLvlLbl val="0"/>
      </c:catAx>
      <c:valAx>
        <c:axId val="47636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543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530050-C5B0-4A29-96EC-E0826989FEF6}">
  <sheetPr/>
  <sheetViews>
    <sheetView zoomScale="7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4</xdr:row>
      <xdr:rowOff>45720</xdr:rowOff>
    </xdr:from>
    <xdr:to>
      <xdr:col>11</xdr:col>
      <xdr:colOff>589985</xdr:colOff>
      <xdr:row>10</xdr:row>
      <xdr:rowOff>141292</xdr:rowOff>
    </xdr:to>
    <xdr:sp macro="" textlink="">
      <xdr:nvSpPr>
        <xdr:cNvPr id="2" name="Plano de Fundo" descr="Plano de Fundo">
          <a:extLst>
            <a:ext uri="{FF2B5EF4-FFF2-40B4-BE49-F238E27FC236}">
              <a16:creationId xmlns:a16="http://schemas.microsoft.com/office/drawing/2014/main" id="{6DA5A9BC-2FB7-45B8-A5EB-9DA53BE335C7}"/>
            </a:ext>
          </a:extLst>
        </xdr:cNvPr>
        <xdr:cNvSpPr/>
      </xdr:nvSpPr>
      <xdr:spPr>
        <a:xfrm>
          <a:off x="2964180" y="784860"/>
          <a:ext cx="4331405" cy="1192852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5</xdr:col>
      <xdr:colOff>197512</xdr:colOff>
      <xdr:row>4</xdr:row>
      <xdr:rowOff>126577</xdr:rowOff>
    </xdr:from>
    <xdr:to>
      <xdr:col>11</xdr:col>
      <xdr:colOff>224091</xdr:colOff>
      <xdr:row>6</xdr:row>
      <xdr:rowOff>124595</xdr:rowOff>
    </xdr:to>
    <xdr:sp macro="" textlink="">
      <xdr:nvSpPr>
        <xdr:cNvPr id="3" name="Etapa" descr="Noções básicas: fazer cálculos no Excel&#10;">
          <a:extLst>
            <a:ext uri="{FF2B5EF4-FFF2-40B4-BE49-F238E27FC236}">
              <a16:creationId xmlns:a16="http://schemas.microsoft.com/office/drawing/2014/main" id="{F5928C00-D8C1-46FE-B6F4-C6317A2AF783}"/>
            </a:ext>
          </a:extLst>
        </xdr:cNvPr>
        <xdr:cNvSpPr txBox="1"/>
      </xdr:nvSpPr>
      <xdr:spPr>
        <a:xfrm>
          <a:off x="3245512" y="865717"/>
          <a:ext cx="3684179" cy="36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Nesta atividade</a:t>
          </a: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5</xdr:col>
      <xdr:colOff>183087</xdr:colOff>
      <xdr:row>7</xdr:row>
      <xdr:rowOff>53030</xdr:rowOff>
    </xdr:from>
    <xdr:to>
      <xdr:col>11</xdr:col>
      <xdr:colOff>174645</xdr:colOff>
      <xdr:row>7</xdr:row>
      <xdr:rowOff>53030</xdr:rowOff>
    </xdr:to>
    <xdr:cxnSp macro="">
      <xdr:nvCxnSpPr>
        <xdr:cNvPr id="4" name="Linha superior" descr="Linha decorativa">
          <a:extLst>
            <a:ext uri="{FF2B5EF4-FFF2-40B4-BE49-F238E27FC236}">
              <a16:creationId xmlns:a16="http://schemas.microsoft.com/office/drawing/2014/main" id="{FCD70EF6-D2B3-47DF-B1C1-37965E96DDBC}"/>
            </a:ext>
          </a:extLst>
        </xdr:cNvPr>
        <xdr:cNvCxnSpPr>
          <a:cxnSpLocks/>
        </xdr:cNvCxnSpPr>
      </xdr:nvCxnSpPr>
      <xdr:spPr>
        <a:xfrm>
          <a:off x="3231087" y="1340810"/>
          <a:ext cx="3649158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82316</xdr:colOff>
      <xdr:row>7</xdr:row>
      <xdr:rowOff>143219</xdr:rowOff>
    </xdr:from>
    <xdr:to>
      <xdr:col>12</xdr:col>
      <xdr:colOff>158387</xdr:colOff>
      <xdr:row>10</xdr:row>
      <xdr:rowOff>2588</xdr:rowOff>
    </xdr:to>
    <xdr:sp macro="" textlink="">
      <xdr:nvSpPr>
        <xdr:cNvPr id="5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64B457BB-FDA2-49ED-B43F-9E4B5B371E5D}"/>
            </a:ext>
          </a:extLst>
        </xdr:cNvPr>
        <xdr:cNvSpPr txBox="1"/>
      </xdr:nvSpPr>
      <xdr:spPr>
        <a:xfrm>
          <a:off x="3130316" y="1430999"/>
          <a:ext cx="4343271" cy="408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* Utilizar a função INT para arredondar os valores de entrada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8</xdr:row>
      <xdr:rowOff>133350</xdr:rowOff>
    </xdr:from>
    <xdr:to>
      <xdr:col>11</xdr:col>
      <xdr:colOff>171450</xdr:colOff>
      <xdr:row>13</xdr:row>
      <xdr:rowOff>147637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D568ACC-4086-457B-84D0-9E8623A88692}"/>
            </a:ext>
          </a:extLst>
        </xdr:cNvPr>
        <xdr:cNvSpPr txBox="1"/>
      </xdr:nvSpPr>
      <xdr:spPr>
        <a:xfrm>
          <a:off x="5819774" y="1657350"/>
          <a:ext cx="2409826" cy="966787"/>
        </a:xfrm>
        <a:prstGeom prst="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pt-BR" sz="1800">
              <a:solidFill>
                <a:schemeClr val="tx1"/>
              </a:solidFill>
            </a:rPr>
            <a:t>FUNÇÃO</a:t>
          </a:r>
          <a:r>
            <a:rPr lang="pt-BR" sz="1800" baseline="0">
              <a:solidFill>
                <a:schemeClr val="tx1"/>
              </a:solidFill>
            </a:rPr>
            <a:t> ABS TIRA O - DE VALORES NEGATIVOS</a:t>
          </a:r>
          <a:endParaRPr lang="pt-BR" sz="18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333375</xdr:colOff>
      <xdr:row>0</xdr:row>
      <xdr:rowOff>0</xdr:rowOff>
    </xdr:from>
    <xdr:to>
      <xdr:col>17</xdr:col>
      <xdr:colOff>187779</xdr:colOff>
      <xdr:row>13</xdr:row>
      <xdr:rowOff>43868</xdr:rowOff>
    </xdr:to>
    <xdr:grpSp>
      <xdr:nvGrpSpPr>
        <xdr:cNvPr id="2" name="Grupo 105">
          <a:extLst>
            <a:ext uri="{FF2B5EF4-FFF2-40B4-BE49-F238E27FC236}">
              <a16:creationId xmlns:a16="http://schemas.microsoft.com/office/drawing/2014/main" id="{E2C2C3AC-F5F3-4B55-92AE-BF78E016B1BB}"/>
            </a:ext>
          </a:extLst>
        </xdr:cNvPr>
        <xdr:cNvGrpSpPr/>
      </xdr:nvGrpSpPr>
      <xdr:grpSpPr>
        <a:xfrm>
          <a:off x="3394982" y="0"/>
          <a:ext cx="7338333" cy="2520368"/>
          <a:chOff x="333374" y="276186"/>
          <a:chExt cx="2836537" cy="3376551"/>
        </a:xfrm>
      </xdr:grpSpPr>
      <xdr:grpSp>
        <xdr:nvGrpSpPr>
          <xdr:cNvPr id="3" name="Instrução Adicionar números">
            <a:extLst>
              <a:ext uri="{FF2B5EF4-FFF2-40B4-BE49-F238E27FC236}">
                <a16:creationId xmlns:a16="http://schemas.microsoft.com/office/drawing/2014/main" id="{742C59A5-A912-4CA0-810E-508C6EEAB40B}"/>
              </a:ext>
            </a:extLst>
          </xdr:cNvPr>
          <xdr:cNvGrpSpPr/>
        </xdr:nvGrpSpPr>
        <xdr:grpSpPr>
          <a:xfrm>
            <a:off x="333374" y="276186"/>
            <a:ext cx="2836537" cy="3364020"/>
            <a:chOff x="-1" y="9585"/>
            <a:chExt cx="2836537" cy="3399062"/>
          </a:xfrm>
        </xdr:grpSpPr>
        <xdr:sp macro="" textlink="">
          <xdr:nvSpPr>
            <xdr:cNvPr id="5" name="Plano de Fundo" descr="Plano de Fundo">
              <a:extLst>
                <a:ext uri="{FF2B5EF4-FFF2-40B4-BE49-F238E27FC236}">
                  <a16:creationId xmlns:a16="http://schemas.microsoft.com/office/drawing/2014/main" id="{77916C9A-88DB-4370-933D-0D73FE781A7F}"/>
                </a:ext>
              </a:extLst>
            </xdr:cNvPr>
            <xdr:cNvSpPr/>
          </xdr:nvSpPr>
          <xdr:spPr>
            <a:xfrm>
              <a:off x="-1" y="9585"/>
              <a:ext cx="2836537" cy="3399062"/>
            </a:xfrm>
            <a:prstGeom prst="rect">
              <a:avLst/>
            </a:prstGeom>
            <a:solidFill>
              <a:srgbClr val="F5F5F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en-US" sz="1100"/>
            </a:p>
          </xdr:txBody>
        </xdr:sp>
        <xdr:sp macro="" textlink="">
          <xdr:nvSpPr>
            <xdr:cNvPr id="6" name="Etapa" descr="Noções básicas: fazer cálculos no Excel&#10;">
              <a:extLst>
                <a:ext uri="{FF2B5EF4-FFF2-40B4-BE49-F238E27FC236}">
                  <a16:creationId xmlns:a16="http://schemas.microsoft.com/office/drawing/2014/main" id="{D1D695F5-E41A-49E7-9364-E4DEFC5EF9BD}"/>
                </a:ext>
              </a:extLst>
            </xdr:cNvPr>
            <xdr:cNvSpPr txBox="1"/>
          </xdr:nvSpPr>
          <xdr:spPr>
            <a:xfrm>
              <a:off x="184433" y="118697"/>
              <a:ext cx="2415244" cy="49090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0" i="0" u="none" strike="noStrike" kern="0" cap="none" spc="0" normalizeH="0" baseline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effectLst/>
                  <a:uLnTx/>
                  <a:uFillTx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Cálculos de data e hora no Excel</a:t>
              </a:r>
              <a:endParaRPr kumimoji="0" lang="en-US" sz="2200" b="1" i="1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endParaRPr>
            </a:p>
          </xdr:txBody>
        </xdr:sp>
        <xdr:cxnSp macro="">
          <xdr:nvCxnSpPr>
            <xdr:cNvPr id="7" name="Linha superior" descr="Linha decorativa">
              <a:extLst>
                <a:ext uri="{FF2B5EF4-FFF2-40B4-BE49-F238E27FC236}">
                  <a16:creationId xmlns:a16="http://schemas.microsoft.com/office/drawing/2014/main" id="{3A41BFBC-CDD4-4365-BA5C-EF5B3E68337F}"/>
                </a:ext>
              </a:extLst>
            </xdr:cNvPr>
            <xdr:cNvCxnSpPr>
              <a:cxnSpLocks/>
            </xdr:cNvCxnSpPr>
          </xdr:nvCxnSpPr>
          <xdr:spPr>
            <a:xfrm>
              <a:off x="145391" y="759814"/>
              <a:ext cx="2392285" cy="0"/>
            </a:xfrm>
            <a:prstGeom prst="line">
              <a:avLst/>
            </a:prstGeom>
            <a:ln w="25400">
              <a:solidFill>
                <a:srgbClr val="21734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xt_Etapa" descr="Você pode somar, subtrair, multiplicar e dividir no Excel sem usar as funções internas. Basta usar os operadores +, -, * e /. Todas as fórmulas começam com um sinal de igual (=).">
            <a:extLst>
              <a:ext uri="{FF2B5EF4-FFF2-40B4-BE49-F238E27FC236}">
                <a16:creationId xmlns:a16="http://schemas.microsoft.com/office/drawing/2014/main" id="{B986AEE6-4664-458F-8C83-113582CA278F}"/>
              </a:ext>
            </a:extLst>
          </xdr:cNvPr>
          <xdr:cNvSpPr txBox="1"/>
        </xdr:nvSpPr>
        <xdr:spPr>
          <a:xfrm>
            <a:off x="442289" y="1139132"/>
            <a:ext cx="2723923" cy="25136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 i="0" u="none" strike="noStrike" kern="1200">
                <a:solidFill>
                  <a:schemeClr val="dk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Quando o Excel olha</a:t>
            </a:r>
            <a:r>
              <a:rPr lang="pt-BR" sz="1100" b="0" i="0" u="none" strike="noStrike" kern="1200" baseline="0">
                <a:solidFill>
                  <a:schemeClr val="dk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para essa informação </a:t>
            </a:r>
            <a:r>
              <a:rPr lang="pt-BR" sz="1200" b="1" i="0" u="none" strike="noStrike" kern="1200" baseline="0">
                <a:solidFill>
                  <a:srgbClr val="FF0000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30/09/1985</a:t>
            </a:r>
            <a:r>
              <a:rPr lang="pt-BR" sz="1100" b="0" i="0" u="none" strike="noStrike" kern="1200" baseline="0">
                <a:solidFill>
                  <a:schemeClr val="dk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na realidade ele está enxergando o número </a:t>
            </a:r>
            <a:r>
              <a:rPr lang="pt-BR" sz="1200" b="1" i="0" u="none" strike="noStrike" kern="1200" baseline="0">
                <a:solidFill>
                  <a:srgbClr val="FF0000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31320</a:t>
            </a:r>
            <a:r>
              <a:rPr lang="pt-BR" sz="1100" b="0" i="0" u="none" strike="noStrike" kern="1200" baseline="0">
                <a:solidFill>
                  <a:schemeClr val="dk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0" i="0" u="none" strike="noStrike" kern="1200" cap="none" spc="0" normalizeH="0" baseline="0">
                <a:ln>
                  <a:noFill/>
                </a:ln>
                <a:solidFill>
                  <a:schemeClr val="dk1"/>
                </a:solidFill>
                <a:effectLst/>
                <a:uLnTx/>
                <a:uFillTx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Legal, não é mesmo?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0" i="0" u="none" strike="noStrike" kern="1200" cap="none" spc="0" normalizeH="0" baseline="0">
                <a:ln>
                  <a:noFill/>
                </a:ln>
                <a:solidFill>
                  <a:schemeClr val="dk1"/>
                </a:solidFill>
                <a:effectLst/>
                <a:uLnTx/>
                <a:uFillTx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Mas isso tudo acontece, pois, o Excel permite o cálculo entre datas e números decimais no Excel.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0" i="0" u="none" strike="noStrike" kern="1200" cap="none" spc="0" normalizeH="0" baseline="0">
                <a:ln>
                  <a:noFill/>
                </a:ln>
                <a:solidFill>
                  <a:schemeClr val="dk1"/>
                </a:solidFill>
                <a:effectLst/>
                <a:uLnTx/>
                <a:uFillTx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Por Exemplo: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0" i="0" u="none" strike="noStrike" kern="1200" cap="none" spc="0" normalizeH="0" baseline="0">
                <a:ln>
                  <a:noFill/>
                </a:ln>
                <a:solidFill>
                  <a:schemeClr val="dk1"/>
                </a:solidFill>
                <a:effectLst/>
                <a:uLnTx/>
                <a:uFillTx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15/12/2018 + 3 vai trazer como resultado o dia 18/12/2018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0" i="0" u="none" strike="noStrike" kern="1200" cap="none" spc="0" normalizeH="0" baseline="0">
                <a:ln>
                  <a:noFill/>
                </a:ln>
                <a:solidFill>
                  <a:schemeClr val="dk1"/>
                </a:solidFill>
                <a:effectLst/>
                <a:uLnTx/>
                <a:uFillTx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Agora que você aprendeu isso, vai ficar muito mais fácil de entender esse capítulo do seu treinamento.</a:t>
            </a: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0</xdr:col>
      <xdr:colOff>0</xdr:colOff>
      <xdr:row>1</xdr:row>
      <xdr:rowOff>35209</xdr:rowOff>
    </xdr:from>
    <xdr:to>
      <xdr:col>5</xdr:col>
      <xdr:colOff>482600</xdr:colOff>
      <xdr:row>12</xdr:row>
      <xdr:rowOff>23779</xdr:rowOff>
    </xdr:to>
    <xdr:pic>
      <xdr:nvPicPr>
        <xdr:cNvPr id="8" name="Imagem 7" descr="Retirado do google images">
          <a:extLst>
            <a:ext uri="{FF2B5EF4-FFF2-40B4-BE49-F238E27FC236}">
              <a16:creationId xmlns:a16="http://schemas.microsoft.com/office/drawing/2014/main" id="{5683BDEA-AEC0-4048-8043-F09ABFAC4395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33" b="11511"/>
        <a:stretch/>
      </xdr:blipFill>
      <xdr:spPr bwMode="auto">
        <a:xfrm>
          <a:off x="0" y="218089"/>
          <a:ext cx="3530600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4</xdr:row>
      <xdr:rowOff>66675</xdr:rowOff>
    </xdr:from>
    <xdr:to>
      <xdr:col>13</xdr:col>
      <xdr:colOff>420923</xdr:colOff>
      <xdr:row>13</xdr:row>
      <xdr:rowOff>53559</xdr:rowOff>
    </xdr:to>
    <xdr:sp macro="" textlink="">
      <xdr:nvSpPr>
        <xdr:cNvPr id="5" name="Plano de Fundo" descr="Plano de Fundo">
          <a:extLst>
            <a:ext uri="{FF2B5EF4-FFF2-40B4-BE49-F238E27FC236}">
              <a16:creationId xmlns:a16="http://schemas.microsoft.com/office/drawing/2014/main" id="{F7A0C9BD-A290-4D10-8E47-6A075939B3EA}"/>
            </a:ext>
          </a:extLst>
        </xdr:cNvPr>
        <xdr:cNvSpPr/>
      </xdr:nvSpPr>
      <xdr:spPr>
        <a:xfrm>
          <a:off x="3981450" y="847725"/>
          <a:ext cx="5164373" cy="1710909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5</xdr:col>
      <xdr:colOff>328483</xdr:colOff>
      <xdr:row>4</xdr:row>
      <xdr:rowOff>66289</xdr:rowOff>
    </xdr:from>
    <xdr:to>
      <xdr:col>12</xdr:col>
      <xdr:colOff>469614</xdr:colOff>
      <xdr:row>5</xdr:row>
      <xdr:rowOff>174029</xdr:rowOff>
    </xdr:to>
    <xdr:sp macro="" textlink="">
      <xdr:nvSpPr>
        <xdr:cNvPr id="6" name="Etapa" descr="Noções básicas: fazer cálculos no Excel&#10;">
          <a:extLst>
            <a:ext uri="{FF2B5EF4-FFF2-40B4-BE49-F238E27FC236}">
              <a16:creationId xmlns:a16="http://schemas.microsoft.com/office/drawing/2014/main" id="{B8C0CC9F-1629-4A37-A25A-BD77DFA41663}"/>
            </a:ext>
          </a:extLst>
        </xdr:cNvPr>
        <xdr:cNvSpPr txBox="1"/>
      </xdr:nvSpPr>
      <xdr:spPr>
        <a:xfrm>
          <a:off x="4504243" y="828289"/>
          <a:ext cx="4301651" cy="298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Nesta atividade</a:t>
          </a: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5</xdr:col>
      <xdr:colOff>311641</xdr:colOff>
      <xdr:row>6</xdr:row>
      <xdr:rowOff>82410</xdr:rowOff>
    </xdr:from>
    <xdr:to>
      <xdr:col>12</xdr:col>
      <xdr:colOff>411881</xdr:colOff>
      <xdr:row>6</xdr:row>
      <xdr:rowOff>82410</xdr:rowOff>
    </xdr:to>
    <xdr:cxnSp macro="">
      <xdr:nvCxnSpPr>
        <xdr:cNvPr id="7" name="Linha superior" descr="Linha decorativa">
          <a:extLst>
            <a:ext uri="{FF2B5EF4-FFF2-40B4-BE49-F238E27FC236}">
              <a16:creationId xmlns:a16="http://schemas.microsoft.com/office/drawing/2014/main" id="{DE768A8D-69C2-40B2-9624-0C38EE52C1F0}"/>
            </a:ext>
          </a:extLst>
        </xdr:cNvPr>
        <xdr:cNvCxnSpPr>
          <a:cxnSpLocks/>
        </xdr:cNvCxnSpPr>
      </xdr:nvCxnSpPr>
      <xdr:spPr>
        <a:xfrm>
          <a:off x="4487401" y="1217790"/>
          <a:ext cx="4260760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193980</xdr:colOff>
      <xdr:row>6</xdr:row>
      <xdr:rowOff>156352</xdr:rowOff>
    </xdr:from>
    <xdr:to>
      <xdr:col>13</xdr:col>
      <xdr:colOff>510308</xdr:colOff>
      <xdr:row>12</xdr:row>
      <xdr:rowOff>58725</xdr:rowOff>
    </xdr:to>
    <xdr:sp macro="" textlink="">
      <xdr:nvSpPr>
        <xdr:cNvPr id="8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43DB77C1-8585-4F06-AA44-D3AF28B0914B}"/>
            </a:ext>
          </a:extLst>
        </xdr:cNvPr>
        <xdr:cNvSpPr txBox="1"/>
      </xdr:nvSpPr>
      <xdr:spPr>
        <a:xfrm>
          <a:off x="4369740" y="1291732"/>
          <a:ext cx="5071208" cy="999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120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Cálculo de horas trabalhadas e formatação de célula hh:mm:ss</a:t>
          </a:r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Será necessário, após fazer o cálculo de horas trabalhadas, fazer a formatação como Hora.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1-hora de saida depois hora da estrada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171449</xdr:colOff>
      <xdr:row>4</xdr:row>
      <xdr:rowOff>161925</xdr:rowOff>
    </xdr:from>
    <xdr:to>
      <xdr:col>14</xdr:col>
      <xdr:colOff>485775</xdr:colOff>
      <xdr:row>8</xdr:row>
      <xdr:rowOff>123826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96D81AD-EBF4-4B26-81CC-FFB7510C4CF8}"/>
            </a:ext>
          </a:extLst>
        </xdr:cNvPr>
        <xdr:cNvSpPr txBox="1"/>
      </xdr:nvSpPr>
      <xdr:spPr>
        <a:xfrm>
          <a:off x="7075169" y="527685"/>
          <a:ext cx="5191126" cy="838201"/>
        </a:xfrm>
        <a:prstGeom prst="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pt-BR" sz="1400" b="1"/>
            <a:t>Na</a:t>
          </a:r>
          <a:r>
            <a:rPr lang="pt-BR" sz="1400" b="1" baseline="0"/>
            <a:t> coluna dias</a:t>
          </a:r>
        </a:p>
        <a:p>
          <a:endParaRPr lang="pt-BR" sz="1100" baseline="0"/>
        </a:p>
        <a:p>
          <a:r>
            <a:rPr lang="pt-BR" sz="1200" baseline="0"/>
            <a:t>Quantos dias foram precisos para concluir cada cômodo da reforma da casa?</a:t>
          </a:r>
          <a:endParaRPr lang="pt-BR" sz="1100"/>
        </a:p>
      </xdr:txBody>
    </xdr:sp>
    <xdr:clientData/>
  </xdr:twoCellAnchor>
  <xdr:oneCellAnchor>
    <xdr:from>
      <xdr:col>8</xdr:col>
      <xdr:colOff>190499</xdr:colOff>
      <xdr:row>10</xdr:row>
      <xdr:rowOff>257174</xdr:rowOff>
    </xdr:from>
    <xdr:ext cx="3343275" cy="981075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1CFA3B8-8879-40A3-851A-C7D6DF339F4F}"/>
            </a:ext>
          </a:extLst>
        </xdr:cNvPr>
        <xdr:cNvSpPr txBox="1"/>
      </xdr:nvSpPr>
      <xdr:spPr>
        <a:xfrm>
          <a:off x="7886699" y="2181224"/>
          <a:ext cx="3343275" cy="981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/>
            <a:t>Ir em Formata celulas Personalizado Geral</a:t>
          </a:r>
        </a:p>
        <a:p>
          <a:endParaRPr lang="pt-BR" sz="1200"/>
        </a:p>
        <a:p>
          <a:r>
            <a:rPr lang="pt-BR" sz="1100"/>
            <a:t>00</a:t>
          </a:r>
          <a:r>
            <a:rPr lang="pt-BR" sz="1100" baseline="0"/>
            <a:t> "Dias"</a:t>
          </a:r>
          <a:endParaRPr lang="pt-BR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16</xdr:col>
      <xdr:colOff>288815</xdr:colOff>
      <xdr:row>20</xdr:row>
      <xdr:rowOff>173355</xdr:rowOff>
    </xdr:to>
    <xdr:sp macro="" textlink="">
      <xdr:nvSpPr>
        <xdr:cNvPr id="8" name="Plano de Fundo" descr="Plano de Fundo">
          <a:extLst>
            <a:ext uri="{FF2B5EF4-FFF2-40B4-BE49-F238E27FC236}">
              <a16:creationId xmlns:a16="http://schemas.microsoft.com/office/drawing/2014/main" id="{A4527ADD-8A28-4CB5-A70C-F1CE6CACB737}"/>
            </a:ext>
          </a:extLst>
        </xdr:cNvPr>
        <xdr:cNvSpPr/>
      </xdr:nvSpPr>
      <xdr:spPr>
        <a:xfrm>
          <a:off x="5958840" y="2423160"/>
          <a:ext cx="5470415" cy="18192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9</xdr:col>
      <xdr:colOff>340907</xdr:colOff>
      <xdr:row>11</xdr:row>
      <xdr:rowOff>83288</xdr:rowOff>
    </xdr:from>
    <xdr:to>
      <xdr:col>15</xdr:col>
      <xdr:colOff>233256</xdr:colOff>
      <xdr:row>13</xdr:row>
      <xdr:rowOff>92245</xdr:rowOff>
    </xdr:to>
    <xdr:sp macro="" textlink="">
      <xdr:nvSpPr>
        <xdr:cNvPr id="9" name="Etapa" descr="Noções básicas: fazer cálculos no Excel&#10;">
          <a:extLst>
            <a:ext uri="{FF2B5EF4-FFF2-40B4-BE49-F238E27FC236}">
              <a16:creationId xmlns:a16="http://schemas.microsoft.com/office/drawing/2014/main" id="{93303B77-614D-431C-9E31-1EA67B5A9D69}"/>
            </a:ext>
          </a:extLst>
        </xdr:cNvPr>
        <xdr:cNvSpPr txBox="1"/>
      </xdr:nvSpPr>
      <xdr:spPr>
        <a:xfrm>
          <a:off x="6299747" y="2506448"/>
          <a:ext cx="4464349" cy="374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Nesta atividade</a:t>
          </a: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9</xdr:col>
      <xdr:colOff>323428</xdr:colOff>
      <xdr:row>14</xdr:row>
      <xdr:rowOff>24028</xdr:rowOff>
    </xdr:from>
    <xdr:to>
      <xdr:col>15</xdr:col>
      <xdr:colOff>173339</xdr:colOff>
      <xdr:row>14</xdr:row>
      <xdr:rowOff>24028</xdr:rowOff>
    </xdr:to>
    <xdr:cxnSp macro="">
      <xdr:nvCxnSpPr>
        <xdr:cNvPr id="10" name="Linha superior" descr="Linha decorativa">
          <a:extLst>
            <a:ext uri="{FF2B5EF4-FFF2-40B4-BE49-F238E27FC236}">
              <a16:creationId xmlns:a16="http://schemas.microsoft.com/office/drawing/2014/main" id="{DE93F274-9853-4B0B-9951-2F7B9559B290}"/>
            </a:ext>
          </a:extLst>
        </xdr:cNvPr>
        <xdr:cNvCxnSpPr>
          <a:cxnSpLocks/>
        </xdr:cNvCxnSpPr>
      </xdr:nvCxnSpPr>
      <xdr:spPr>
        <a:xfrm>
          <a:off x="6282268" y="2995828"/>
          <a:ext cx="4421911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201317</xdr:colOff>
      <xdr:row>14</xdr:row>
      <xdr:rowOff>116930</xdr:rowOff>
    </xdr:from>
    <xdr:to>
      <xdr:col>16</xdr:col>
      <xdr:colOff>282728</xdr:colOff>
      <xdr:row>20</xdr:row>
      <xdr:rowOff>125729</xdr:rowOff>
    </xdr:to>
    <xdr:sp macro="" textlink="">
      <xdr:nvSpPr>
        <xdr:cNvPr id="11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76EF40C9-B6A8-4DED-BC2B-016D6C14F4F9}"/>
            </a:ext>
          </a:extLst>
        </xdr:cNvPr>
        <xdr:cNvSpPr txBox="1"/>
      </xdr:nvSpPr>
      <xdr:spPr>
        <a:xfrm>
          <a:off x="6160157" y="3088730"/>
          <a:ext cx="5263011" cy="11060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120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- Na atividade mais a esquerda</a:t>
          </a:r>
          <a:r>
            <a:rPr lang="pt-BR" sz="1100" b="0" i="0" u="none" strike="noStrike" kern="1200" baseline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, efetuaremos o cálculo da data de saída dos funcionários desligados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- Na atividade mais a direita, efetuaremos a quantidade de dias de atraso entre a data planejada e a data realizada.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oneCellAnchor>
    <xdr:from>
      <xdr:col>14</xdr:col>
      <xdr:colOff>56030</xdr:colOff>
      <xdr:row>3</xdr:row>
      <xdr:rowOff>369793</xdr:rowOff>
    </xdr:from>
    <xdr:ext cx="1804147" cy="605117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58CA4B-25BC-448D-8830-FEED468062EF}"/>
            </a:ext>
          </a:extLst>
        </xdr:cNvPr>
        <xdr:cNvSpPr txBox="1"/>
      </xdr:nvSpPr>
      <xdr:spPr>
        <a:xfrm>
          <a:off x="10399059" y="986117"/>
          <a:ext cx="1804147" cy="60511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/>
            <a:t>Data real - a Data Planejada</a:t>
          </a:r>
        </a:p>
      </xdr:txBody>
    </xdr:sp>
    <xdr:clientData/>
  </xdr:oneCellAnchor>
  <xdr:oneCellAnchor>
    <xdr:from>
      <xdr:col>2</xdr:col>
      <xdr:colOff>616324</xdr:colOff>
      <xdr:row>17</xdr:row>
      <xdr:rowOff>0</xdr:rowOff>
    </xdr:from>
    <xdr:ext cx="2655794" cy="616323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E858ECB-40E6-4A82-B2D4-E9577129924F}"/>
            </a:ext>
          </a:extLst>
        </xdr:cNvPr>
        <xdr:cNvSpPr txBox="1"/>
      </xdr:nvSpPr>
      <xdr:spPr>
        <a:xfrm>
          <a:off x="1826559" y="3473824"/>
          <a:ext cx="2655794" cy="6163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/>
            <a:t>Dias de</a:t>
          </a:r>
          <a:r>
            <a:rPr lang="pt-BR" sz="1100" baseline="0"/>
            <a:t> ENTRDA + Dias de tabralho</a:t>
          </a:r>
          <a:endParaRPr lang="pt-BR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640845" cy="601104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53761B-0C45-4AEA-B62B-1FD3EB3801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</xdr:row>
      <xdr:rowOff>19050</xdr:rowOff>
    </xdr:from>
    <xdr:to>
      <xdr:col>13</xdr:col>
      <xdr:colOff>533401</xdr:colOff>
      <xdr:row>7</xdr:row>
      <xdr:rowOff>28575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67436E7-A4DA-4BD0-AC03-B7D8C24700D7}"/>
            </a:ext>
          </a:extLst>
        </xdr:cNvPr>
        <xdr:cNvSpPr txBox="1"/>
      </xdr:nvSpPr>
      <xdr:spPr>
        <a:xfrm>
          <a:off x="6299835" y="300990"/>
          <a:ext cx="5069206" cy="1701165"/>
        </a:xfrm>
        <a:prstGeom prst="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pt-BR" sz="1400" b="1"/>
            <a:t>Na</a:t>
          </a:r>
          <a:r>
            <a:rPr lang="pt-BR" sz="1400" b="1" baseline="0"/>
            <a:t> coluna Total em horas</a:t>
          </a:r>
        </a:p>
        <a:p>
          <a:endParaRPr lang="pt-BR" sz="1100" baseline="0"/>
        </a:p>
        <a:p>
          <a:r>
            <a:rPr lang="pt-BR" sz="1200" baseline="0"/>
            <a:t>Quanto tempo levamos para entregar as pizzas de cada um dos pedidos da tabela ao lado?</a:t>
          </a:r>
        </a:p>
        <a:p>
          <a:endParaRPr lang="pt-BR" sz="1200" baseline="0"/>
        </a:p>
        <a:p>
          <a:r>
            <a:rPr lang="pt-BR" sz="1400" b="1" baseline="0"/>
            <a:t>Na coluna média de tempo</a:t>
          </a:r>
        </a:p>
        <a:p>
          <a:r>
            <a:rPr lang="pt-BR" sz="1100"/>
            <a:t>Quanto tempo em média estamos levando</a:t>
          </a:r>
          <a:r>
            <a:rPr lang="pt-BR" sz="1100" baseline="0"/>
            <a:t> para entregar um pedido?</a:t>
          </a:r>
        </a:p>
        <a:p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hur%20Lucas/Desktop/01%20AULAS/EXCEL%20Basico/Base/Excel+para+Iniciantes+(atualizad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ste Treinamento"/>
      <sheetName val="CAP 01 - FORMATAÇÃO DE DADOS"/>
      <sheetName val="Área de Trabalho do Excel"/>
      <sheetName val="Deslocamento | Seleção | Mover"/>
      <sheetName val="Alça de Preenchimento"/>
      <sheetName val="Área de Transferência"/>
      <sheetName val="Fonte, Alinhamento e Número"/>
      <sheetName val="Grupo Células"/>
      <sheetName val="Grupo Edição"/>
      <sheetName val="Classificar e Filtrar Básico"/>
      <sheetName val="Preenchimento Relâmpago"/>
      <sheetName val="Desafio - CAP 01"/>
      <sheetName val="CAP 02 - TABELAS e SEGMENTAÇÕES"/>
      <sheetName val="Formatar como Tabela"/>
      <sheetName val="Segmentação de dados"/>
      <sheetName val="Enunciado Desafio - CAP 02"/>
      <sheetName val="Resolução do Desafio - CAP 02"/>
      <sheetName val="CAP 03 - CÁLCULOS NO EXCEL"/>
      <sheetName val="Noções básicas"/>
      <sheetName val="Adição"/>
      <sheetName val="Subtração"/>
      <sheetName val="Multiplicação"/>
      <sheetName val="Divisão"/>
      <sheetName val="Enunciado Desafio - CAP 03"/>
      <sheetName val="Resolução do Desafio - CAP  03"/>
      <sheetName val="CAP 04 - FUNÇÕES ESSENCIAIS"/>
      <sheetName val="Soma (Orçamento Doméstico)"/>
      <sheetName val="Soma (Custos de Escritório)"/>
      <sheetName val="Média Salarial"/>
      <sheetName val="Média Piso Salarial Nacional"/>
      <sheetName val="Média auxilio moradia 2017"/>
      <sheetName val="Máximo e Mínimo"/>
      <sheetName val="Cont.núm | Contar.vazio"/>
      <sheetName val="SomarProduto | Custo de Serviço"/>
      <sheetName val="SomarProduto | Itens"/>
      <sheetName val="Desafio Filiais"/>
      <sheetName val="Desafio Metas"/>
      <sheetName val="CAP 05 - TRATAMENTO DE NÚMEROS"/>
      <sheetName val="FUNÇÃO ARRED"/>
      <sheetName val="Descontos e Acréscimos Salário"/>
      <sheetName val="Parte Inteira (INT)"/>
      <sheetName val="Módulo ABS"/>
      <sheetName val="Desafio Capítulo Tratamento"/>
      <sheetName val="CAP 06 - CÁLCULOS DATA E HORA"/>
      <sheetName val="Entenda os cálculos data|hora"/>
      <sheetName val="Horas trabalhadas"/>
      <sheetName val="Reforma de Casa"/>
      <sheetName val="Cálculo de data"/>
      <sheetName val="Cálculo Hora"/>
      <sheetName val="Desafio Cálculos Data e Hora"/>
      <sheetName val="Desafio - Folha de Ponto"/>
      <sheetName val="CAP 07 - FUNÇÕES DATA E HORA"/>
      <sheetName val="Função Hoje"/>
      <sheetName val="Função Agora"/>
      <sheetName val="Hora | Minuto | Segundo"/>
      <sheetName val="Dia | Mês | Ano"/>
      <sheetName val="Função Data"/>
      <sheetName val="Desafio Mês"/>
      <sheetName val="Desafio Dia"/>
      <sheetName val="Desafio Ano"/>
      <sheetName val="Desafio Funções Data e Hora"/>
      <sheetName val="CAP 08 - FUNÇÕES TEXTO"/>
      <sheetName val="Funções de texto"/>
      <sheetName val="Arrumar"/>
      <sheetName val="Concatenar"/>
      <sheetName val="UnirTexto 1"/>
      <sheetName val="Unirtexto 2"/>
      <sheetName val="Desafio Final Funções Texto"/>
      <sheetName val="CAP 09 - Função SE"/>
      <sheetName val="Sinais na função Se"/>
      <sheetName val="Entendendo a Função Se"/>
      <sheetName val="Função Se Simples I"/>
      <sheetName val="Função Se Simples II"/>
      <sheetName val="Função Se - Desafio I"/>
      <sheetName val="Função Se Desafio II"/>
      <sheetName val="CAP 10 - GRÁFICOS"/>
      <sheetName val="Gráfico I"/>
      <sheetName val="Gráfico II"/>
      <sheetName val="Gráf. Vendas Região (Treemap)"/>
      <sheetName val="Gráf. Diagrama de Pareto"/>
      <sheetName val="Desafio Gráficos"/>
      <sheetName val="Painel Desafio Gráficos"/>
      <sheetName val="CAP 11 - CLASSIFICAÇÃO E FILTRO"/>
      <sheetName val="Classificação e Filtro"/>
      <sheetName val="Filtro na Segmentação de dados"/>
      <sheetName val="Filtro de dados por cor"/>
      <sheetName val="Classificação Personalizada"/>
      <sheetName val="CAP 12 - IMPRESSÃO"/>
      <sheetName val="Configuração de Página"/>
      <sheetName val="Quebras"/>
      <sheetName val="Imprimir Títulos"/>
      <sheetName val="Modos de Exibição"/>
      <sheetName val="Congelar Painéis"/>
      <sheetName val="Informações Import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5">
          <cell r="E5">
            <v>11908</v>
          </cell>
          <cell r="F5">
            <v>13887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C4F754D-D042-4D95-911A-96ACACFD7F6A}" name="Tabela13" displayName="Tabela13" ref="D4:D14" totalsRowShown="0">
  <autoFilter ref="D4:D14" xr:uid="{1B52BFED-A13F-49F7-A48A-2F7F956FA686}">
    <filterColumn colId="0" hiddenButton="1"/>
  </autoFilter>
  <tableColumns count="1">
    <tableColumn id="1" xr3:uid="{D07150A2-B527-493E-9F4E-910688DB44B9}" name="valores de saida" dataDxfId="11">
      <calculatedColumnFormula>INT(B5)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0B7129-E672-4ED1-B2BD-C5C8DF5F53EE}" name="Tabela7" displayName="Tabela7" ref="B10:F16" totalsRowShown="0" headerRowDxfId="39" dataDxfId="38">
  <autoFilter ref="B10:F16" xr:uid="{5E0B7129-E672-4ED1-B2BD-C5C8DF5F53EE}"/>
  <tableColumns count="5">
    <tableColumn id="1" xr3:uid="{DA817FC6-BB2C-4A22-B5F2-46A6BA890120}" name="Despesas" dataDxfId="37"/>
    <tableColumn id="2" xr3:uid="{7C233758-1E7B-4F9F-82F7-A2CC443476D0}" name="Planejado" dataDxfId="36" dataCellStyle="Vírgula"/>
    <tableColumn id="3" xr3:uid="{8D1822DF-662A-416B-B0F3-333A441634BB}" name="Realizado" dataDxfId="35" dataCellStyle="Vírgula"/>
    <tableColumn id="4" xr3:uid="{AED54DC5-B885-4AF9-9585-05A9A875EE27}" name="Diferença" dataDxfId="34">
      <calculatedColumnFormula>Tabela7[[#This Row],[Planejado]]-Tabela7[[#This Row],[Realizado]]</calculatedColumnFormula>
    </tableColumn>
    <tableColumn id="5" xr3:uid="{4B6DDF8C-A050-4F05-B87D-862D8BEBCEEF}" name="Margem de Erro" dataDxfId="33" dataCellStyle="Porcentagem">
      <calculatedColumnFormula>ABS(Tabela7[[#This Row],[Diferença]]/Tabela7[[#This Row],[Planejado]])</calculatedColumnFormula>
    </tableColumn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BF0A7E-4F77-451D-9CB0-6528B6A50200}" name="Tabela9" displayName="Tabela9" ref="A12:F18" totalsRowCount="1" headerRowDxfId="32" dataDxfId="31">
  <autoFilter ref="A12:F17" xr:uid="{BABF0A7E-4F77-451D-9CB0-6528B6A50200}"/>
  <tableColumns count="6">
    <tableColumn id="1" xr3:uid="{DE381D5D-CA48-40F6-AFF5-A900143A7511}" name="Cômodo" totalsRowLabel="Total" dataDxfId="30" totalsRowDxfId="10"/>
    <tableColumn id="2" xr3:uid="{5C68CD86-0F82-4B98-8996-8B16A8AFD5E0}" name="Início" dataDxfId="29" totalsRowDxfId="9"/>
    <tableColumn id="3" xr3:uid="{7AABA286-3203-4CEF-B767-CEB7FDA00071}" name="Término" dataDxfId="28" totalsRowDxfId="8"/>
    <tableColumn id="4" xr3:uid="{B460D312-BE65-463E-871C-F34F9CA8FB6E}" name="Dias" dataDxfId="4" totalsRowDxfId="7">
      <calculatedColumnFormula>Tabela9[[#This Row],[Término]]-Tabela9[[#This Row],[Início]]</calculatedColumnFormula>
    </tableColumn>
    <tableColumn id="6" xr3:uid="{F3100D28-1702-45DD-B133-B5ECBF42ADAA}" name="Custo Previsto" totalsRowFunction="sum" dataDxfId="27" totalsRowDxfId="6" dataCellStyle="Moeda"/>
    <tableColumn id="7" xr3:uid="{88A74805-1516-4180-A981-AF4BFC129375}" name="Custo Realizado" totalsRowFunction="sum" dataDxfId="26" totalsRowDxfId="5" dataCellStyle="Moeda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C884F0-7CB4-4E20-813A-EEA47FA29FD9}" name="Tabela2429" displayName="Tabela2429" ref="C4:F14" totalsRowShown="0" headerRowDxfId="25" dataDxfId="24">
  <autoFilter ref="C4:F14" xr:uid="{D6C884F0-7CB4-4E20-813A-EEA47FA29FD9}"/>
  <tableColumns count="4">
    <tableColumn id="1" xr3:uid="{70C38F13-322A-41E2-8B68-1F478A613AEB}" name="Funcionário" dataDxfId="23"/>
    <tableColumn id="2" xr3:uid="{3F8358A8-8235-4003-8EF1-2A37D59D355E}" name="Data entrada" dataDxfId="22"/>
    <tableColumn id="3" xr3:uid="{47CE17D9-BC54-489A-9C28-115097381422}" name="Dias Trabalhados" dataDxfId="21"/>
    <tableColumn id="4" xr3:uid="{AC69F55D-6022-414C-9595-CCDF78C5C9EA}" name="Data de Saída" dataDxfId="1">
      <calculatedColumnFormula>Tabela2429[[#This Row],[Data entrada]]+Tabela2429[[#This Row],[Dias Trabalhados]]</calculatedColumnFormula>
    </tableColumn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1A3768-969F-4DD7-B45F-25EBFC0049E6}" name="Tabela29" displayName="Tabela29" ref="J4:M7" totalsRowShown="0" headerRowDxfId="20" dataDxfId="19">
  <autoFilter ref="J4:M7" xr:uid="{BB1A3768-969F-4DD7-B45F-25EBFC0049E6}"/>
  <tableColumns count="4">
    <tableColumn id="1" xr3:uid="{1D1970A7-0FE5-4DC6-9741-DAEDD6B9EE57}" name="Atividade" dataDxfId="18"/>
    <tableColumn id="2" xr3:uid="{263509D4-DD78-45D4-96D2-6DFA34C19972}" name="Data planejada" dataDxfId="17">
      <calculatedColumnFormula>K4+1</calculatedColumnFormula>
    </tableColumn>
    <tableColumn id="3" xr3:uid="{4C42B2E4-8DE8-4AAD-9B15-8A7CDA773F99}" name="Data real" dataDxfId="3">
      <calculatedColumnFormula>L4+1</calculatedColumnFormula>
    </tableColumn>
    <tableColumn id="4" xr3:uid="{2A9E49DA-A1B1-420B-831A-E428D11A276F}" name="Dias de Atraso" dataDxfId="2">
      <calculatedColumnFormula>Tabela29[[#This Row],[Data real]]-Tabela29[[#This Row],[Data planejada]]</calculatedColumnFormula>
    </tableColumn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506EBC-D8A1-40AC-BEBB-F6FA99C20CFD}" name="Tabela2628" displayName="Tabela2628" ref="C3:F13" totalsRowShown="0" headerRowDxfId="16">
  <autoFilter ref="C3:F13" xr:uid="{2B506EBC-D8A1-40AC-BEBB-F6FA99C20CFD}"/>
  <tableColumns count="4">
    <tableColumn id="1" xr3:uid="{8431A20F-22CA-474B-9F0B-C5776D70ECFE}" name="Pedido" dataDxfId="15"/>
    <tableColumn id="2" xr3:uid="{976CCC4F-B8BA-492B-BC8A-4075F238EC70}" name="Saída" dataDxfId="14"/>
    <tableColumn id="3" xr3:uid="{E632F5E8-4127-4668-8668-D82288FB7E2E}" name="Entrega" dataDxfId="13"/>
    <tableColumn id="4" xr3:uid="{1A53145D-34B6-4929-B660-DB4702D952E3}" name="Total em horas" dataDxfId="0">
      <calculatedColumnFormula>Tabela2628[[#This Row],[Entrega]]-Tabela2628[[#This Row],[Saída]]</calculatedColumnFormula>
    </tableColumn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C73EC8-8010-42AC-A730-8948F57F09C0}" name="Tabela23" displayName="Tabela23" ref="H9:H10" totalsRowShown="0">
  <autoFilter ref="H9:H10" xr:uid="{40C73EC8-8010-42AC-A730-8948F57F09C0}"/>
  <tableColumns count="1">
    <tableColumn id="1" xr3:uid="{DA2F8766-16BD-4CE1-851C-91826CBB7D9B}" name="Média de tempo" dataDxfId="1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3E54-C514-4DAB-BA3E-F17848410B91}">
  <dimension ref="B4:F14"/>
  <sheetViews>
    <sheetView workbookViewId="0">
      <selection activeCell="G14" sqref="G14"/>
    </sheetView>
  </sheetViews>
  <sheetFormatPr defaultRowHeight="15" x14ac:dyDescent="0.25"/>
  <cols>
    <col min="2" max="2" width="16.85546875" bestFit="1" customWidth="1"/>
    <col min="4" max="4" width="17.7109375" customWidth="1"/>
  </cols>
  <sheetData>
    <row r="4" spans="2:6" x14ac:dyDescent="0.25">
      <c r="B4" s="1" t="s">
        <v>0</v>
      </c>
      <c r="D4" t="s">
        <v>79</v>
      </c>
      <c r="F4" s="2"/>
    </row>
    <row r="5" spans="2:6" x14ac:dyDescent="0.25">
      <c r="B5" s="3">
        <v>3.1415899999999999</v>
      </c>
      <c r="D5">
        <f t="shared" ref="D5:D14" si="0">INT(B5)</f>
        <v>3</v>
      </c>
      <c r="F5" s="4"/>
    </row>
    <row r="6" spans="2:6" x14ac:dyDescent="0.25">
      <c r="B6" s="5">
        <v>2.7181000000000002</v>
      </c>
      <c r="D6">
        <f t="shared" si="0"/>
        <v>2</v>
      </c>
    </row>
    <row r="7" spans="2:6" x14ac:dyDescent="0.25">
      <c r="B7" s="3">
        <v>1.4141999999999999</v>
      </c>
      <c r="D7">
        <f t="shared" si="0"/>
        <v>1</v>
      </c>
    </row>
    <row r="8" spans="2:6" x14ac:dyDescent="0.25">
      <c r="B8" s="5">
        <v>-1.732</v>
      </c>
      <c r="D8">
        <f t="shared" si="0"/>
        <v>-2</v>
      </c>
    </row>
    <row r="9" spans="2:6" x14ac:dyDescent="0.25">
      <c r="B9" s="3">
        <v>-2.5</v>
      </c>
      <c r="D9">
        <f t="shared" si="0"/>
        <v>-3</v>
      </c>
    </row>
    <row r="10" spans="2:6" x14ac:dyDescent="0.25">
      <c r="B10" s="5">
        <v>9.7799999999999994</v>
      </c>
      <c r="D10">
        <f t="shared" si="0"/>
        <v>9</v>
      </c>
    </row>
    <row r="11" spans="2:6" x14ac:dyDescent="0.25">
      <c r="B11" s="3">
        <v>7.3890000000000002</v>
      </c>
      <c r="D11">
        <f t="shared" si="0"/>
        <v>7</v>
      </c>
    </row>
    <row r="12" spans="2:6" x14ac:dyDescent="0.25">
      <c r="B12" s="5">
        <v>-1.57</v>
      </c>
      <c r="D12">
        <f t="shared" si="0"/>
        <v>-2</v>
      </c>
    </row>
    <row r="13" spans="2:6" x14ac:dyDescent="0.25">
      <c r="B13" s="3">
        <v>1.6479999999999999</v>
      </c>
      <c r="D13">
        <f t="shared" si="0"/>
        <v>1</v>
      </c>
    </row>
    <row r="14" spans="2:6" x14ac:dyDescent="0.25">
      <c r="B14" s="6">
        <v>1.772</v>
      </c>
      <c r="D14">
        <f t="shared" si="0"/>
        <v>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CBB2-B2CB-4534-AC9D-28B9583245FA}">
  <dimension ref="B4:F16"/>
  <sheetViews>
    <sheetView workbookViewId="0">
      <selection activeCell="M13" sqref="M13"/>
    </sheetView>
  </sheetViews>
  <sheetFormatPr defaultRowHeight="15" x14ac:dyDescent="0.25"/>
  <cols>
    <col min="2" max="2" width="11.42578125" bestFit="1" customWidth="1"/>
    <col min="3" max="3" width="12.85546875" bestFit="1" customWidth="1"/>
    <col min="4" max="4" width="13.5703125" bestFit="1" customWidth="1"/>
    <col min="5" max="5" width="11.28515625" bestFit="1" customWidth="1"/>
    <col min="6" max="6" width="16.85546875" bestFit="1" customWidth="1"/>
  </cols>
  <sheetData>
    <row r="4" spans="2:6" x14ac:dyDescent="0.25">
      <c r="B4" s="7" t="s">
        <v>1</v>
      </c>
      <c r="C4" s="7" t="s">
        <v>2</v>
      </c>
      <c r="D4" s="7" t="s">
        <v>3</v>
      </c>
    </row>
    <row r="5" spans="2:6" x14ac:dyDescent="0.25">
      <c r="B5" s="8" t="s">
        <v>4</v>
      </c>
      <c r="C5" s="9">
        <v>-4587</v>
      </c>
      <c r="D5" s="9">
        <f>ABS(C5)</f>
        <v>4587</v>
      </c>
    </row>
    <row r="6" spans="2:6" x14ac:dyDescent="0.25">
      <c r="B6" s="10" t="s">
        <v>5</v>
      </c>
      <c r="C6" s="11">
        <v>8546</v>
      </c>
      <c r="D6" s="9">
        <f t="shared" ref="D6:D8" si="0">ABS(C6)</f>
        <v>8546</v>
      </c>
    </row>
    <row r="7" spans="2:6" x14ac:dyDescent="0.25">
      <c r="B7" s="8" t="s">
        <v>6</v>
      </c>
      <c r="C7" s="9">
        <v>-6848</v>
      </c>
      <c r="D7" s="9">
        <f t="shared" si="0"/>
        <v>6848</v>
      </c>
    </row>
    <row r="8" spans="2:6" x14ac:dyDescent="0.25">
      <c r="B8" s="10" t="s">
        <v>7</v>
      </c>
      <c r="C8" s="11">
        <v>-12845</v>
      </c>
      <c r="D8" s="9">
        <f t="shared" si="0"/>
        <v>12845</v>
      </c>
    </row>
    <row r="10" spans="2:6" x14ac:dyDescent="0.25">
      <c r="B10" s="12" t="s">
        <v>8</v>
      </c>
      <c r="C10" s="12" t="s">
        <v>9</v>
      </c>
      <c r="D10" t="s">
        <v>10</v>
      </c>
      <c r="E10" t="s">
        <v>11</v>
      </c>
      <c r="F10" t="s">
        <v>12</v>
      </c>
    </row>
    <row r="11" spans="2:6" x14ac:dyDescent="0.25">
      <c r="B11" t="s">
        <v>13</v>
      </c>
      <c r="C11" s="13">
        <v>1500</v>
      </c>
      <c r="D11" s="13">
        <v>1550</v>
      </c>
      <c r="E11" s="14">
        <f>Tabela7[[#This Row],[Planejado]]-Tabela7[[#This Row],[Realizado]]</f>
        <v>-50</v>
      </c>
      <c r="F11" s="15">
        <f>ABS(Tabela7[[#This Row],[Diferença]]/Tabela7[[#This Row],[Planejado]])</f>
        <v>3.3333333333333333E-2</v>
      </c>
    </row>
    <row r="12" spans="2:6" x14ac:dyDescent="0.25">
      <c r="B12" t="s">
        <v>14</v>
      </c>
      <c r="C12" s="13">
        <v>2400</v>
      </c>
      <c r="D12" s="13">
        <v>2421</v>
      </c>
      <c r="E12" s="14">
        <f>Tabela7[[#This Row],[Planejado]]-Tabela7[[#This Row],[Realizado]]</f>
        <v>-21</v>
      </c>
      <c r="F12" s="15">
        <f>ABS(Tabela7[[#This Row],[Diferença]]/Tabela7[[#This Row],[Planejado]])</f>
        <v>8.7500000000000008E-3</v>
      </c>
    </row>
    <row r="13" spans="2:6" x14ac:dyDescent="0.25">
      <c r="B13" t="s">
        <v>15</v>
      </c>
      <c r="C13" s="13">
        <v>3200</v>
      </c>
      <c r="D13" s="13">
        <v>3185</v>
      </c>
      <c r="E13" s="14">
        <f>Tabela7[[#This Row],[Planejado]]-Tabela7[[#This Row],[Realizado]]</f>
        <v>15</v>
      </c>
      <c r="F13" s="15">
        <f>ABS(Tabela7[[#This Row],[Diferença]]/Tabela7[[#This Row],[Planejado]])</f>
        <v>4.6874999999999998E-3</v>
      </c>
    </row>
    <row r="14" spans="2:6" x14ac:dyDescent="0.25">
      <c r="B14" t="s">
        <v>16</v>
      </c>
      <c r="C14" s="13">
        <v>1854</v>
      </c>
      <c r="D14" s="13">
        <v>1000</v>
      </c>
      <c r="E14" s="14">
        <f>Tabela7[[#This Row],[Planejado]]-Tabela7[[#This Row],[Realizado]]</f>
        <v>854</v>
      </c>
      <c r="F14" s="15">
        <f>ABS(Tabela7[[#This Row],[Diferença]]/Tabela7[[#This Row],[Planejado]])</f>
        <v>0.46062567421790723</v>
      </c>
    </row>
    <row r="15" spans="2:6" x14ac:dyDescent="0.25">
      <c r="B15" t="s">
        <v>17</v>
      </c>
      <c r="C15" s="13">
        <v>2225</v>
      </c>
      <c r="D15" s="13">
        <v>2400</v>
      </c>
      <c r="E15" s="14">
        <f>Tabela7[[#This Row],[Planejado]]-Tabela7[[#This Row],[Realizado]]</f>
        <v>-175</v>
      </c>
      <c r="F15" s="15">
        <f>ABS(Tabela7[[#This Row],[Diferença]]/Tabela7[[#This Row],[Planejado]])</f>
        <v>7.8651685393258425E-2</v>
      </c>
    </row>
    <row r="16" spans="2:6" x14ac:dyDescent="0.25">
      <c r="B16" t="s">
        <v>18</v>
      </c>
      <c r="C16" s="13">
        <v>1542</v>
      </c>
      <c r="D16" s="13">
        <v>3000</v>
      </c>
      <c r="E16" s="14">
        <f>Tabela7[[#This Row],[Planejado]]-Tabela7[[#This Row],[Realizado]]</f>
        <v>-1458</v>
      </c>
      <c r="F16" s="15">
        <f>ABS(Tabela7[[#This Row],[Diferença]]/Tabela7[[#This Row],[Planejado]])</f>
        <v>0.94552529182879375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AE87-90D4-4984-A53F-10640D485226}">
  <dimension ref="I18"/>
  <sheetViews>
    <sheetView zoomScale="70" zoomScaleNormal="70" workbookViewId="0">
      <selection activeCell="K23" sqref="K23"/>
    </sheetView>
  </sheetViews>
  <sheetFormatPr defaultRowHeight="15" x14ac:dyDescent="0.25"/>
  <cols>
    <col min="9" max="9" width="11.140625" customWidth="1"/>
  </cols>
  <sheetData>
    <row r="18" spans="9:9" ht="16.5" x14ac:dyDescent="0.3">
      <c r="I18" s="45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0E49-2FAE-4F32-81D5-F96DAA08DDBE}">
  <dimension ref="B2:D18"/>
  <sheetViews>
    <sheetView workbookViewId="0">
      <selection activeCell="I18" sqref="I18"/>
    </sheetView>
  </sheetViews>
  <sheetFormatPr defaultColWidth="8.7109375" defaultRowHeight="15" x14ac:dyDescent="0.25"/>
  <cols>
    <col min="2" max="3" width="13.7109375" bestFit="1" customWidth="1"/>
    <col min="4" max="4" width="16.28515625" bestFit="1" customWidth="1"/>
  </cols>
  <sheetData>
    <row r="2" spans="2:4" ht="15.75" x14ac:dyDescent="0.25">
      <c r="B2" s="16" t="s">
        <v>19</v>
      </c>
      <c r="C2" s="40" t="s">
        <v>20</v>
      </c>
      <c r="D2" s="41"/>
    </row>
    <row r="3" spans="2:4" ht="15.75" x14ac:dyDescent="0.25">
      <c r="B3" s="16" t="s">
        <v>21</v>
      </c>
      <c r="C3" s="42" t="s">
        <v>22</v>
      </c>
      <c r="D3" s="41"/>
    </row>
    <row r="5" spans="2:4" ht="15.75" thickBot="1" x14ac:dyDescent="0.3">
      <c r="B5" s="7" t="s">
        <v>23</v>
      </c>
      <c r="C5" s="7" t="s">
        <v>24</v>
      </c>
      <c r="D5" s="17" t="s">
        <v>25</v>
      </c>
    </row>
    <row r="6" spans="2:4" x14ac:dyDescent="0.25">
      <c r="B6" s="18">
        <v>43368.916666666664</v>
      </c>
      <c r="C6" s="19">
        <v>43369.333333333336</v>
      </c>
      <c r="D6" s="20">
        <f>C6-B6</f>
        <v>0.41666666667151731</v>
      </c>
    </row>
    <row r="7" spans="2:4" x14ac:dyDescent="0.25">
      <c r="B7" s="21">
        <v>43369.90625</v>
      </c>
      <c r="C7" s="22">
        <v>43370.375</v>
      </c>
      <c r="D7" s="23">
        <f t="shared" ref="D7:D18" si="0">C7-B7</f>
        <v>0.46875</v>
      </c>
    </row>
    <row r="8" spans="2:4" x14ac:dyDescent="0.25">
      <c r="B8" s="18">
        <v>43370.958333333336</v>
      </c>
      <c r="C8" s="19">
        <v>43371.354166666664</v>
      </c>
      <c r="D8" s="24">
        <f t="shared" si="0"/>
        <v>0.39583333332848269</v>
      </c>
    </row>
    <row r="9" spans="2:4" x14ac:dyDescent="0.25">
      <c r="B9" s="21">
        <v>43371.9375</v>
      </c>
      <c r="C9" s="22">
        <v>43372.375</v>
      </c>
      <c r="D9" s="23">
        <f t="shared" si="0"/>
        <v>0.4375</v>
      </c>
    </row>
    <row r="10" spans="2:4" x14ac:dyDescent="0.25">
      <c r="B10" s="18">
        <v>43372.916666666664</v>
      </c>
      <c r="C10" s="19">
        <v>43373.395833391201</v>
      </c>
      <c r="D10" s="24">
        <f t="shared" si="0"/>
        <v>0.47916672453720821</v>
      </c>
    </row>
    <row r="11" spans="2:4" x14ac:dyDescent="0.25">
      <c r="B11" s="21">
        <v>43373.895833333336</v>
      </c>
      <c r="C11" s="22">
        <v>43374.41666678241</v>
      </c>
      <c r="D11" s="23">
        <f t="shared" si="0"/>
        <v>0.52083344907441642</v>
      </c>
    </row>
    <row r="12" spans="2:4" x14ac:dyDescent="0.25">
      <c r="B12" s="18">
        <v>43374.875</v>
      </c>
      <c r="C12" s="19">
        <v>43375.437500173612</v>
      </c>
      <c r="D12" s="24">
        <f t="shared" si="0"/>
        <v>0.56250017361162463</v>
      </c>
    </row>
    <row r="13" spans="2:4" x14ac:dyDescent="0.25">
      <c r="B13" s="21">
        <v>43375.854166666664</v>
      </c>
      <c r="C13" s="22">
        <v>43376.458333564813</v>
      </c>
      <c r="D13" s="23">
        <f t="shared" si="0"/>
        <v>0.60416689814883284</v>
      </c>
    </row>
    <row r="14" spans="2:4" x14ac:dyDescent="0.25">
      <c r="B14" s="18">
        <v>43376.833333333336</v>
      </c>
      <c r="C14" s="19">
        <v>43377.479166956022</v>
      </c>
      <c r="D14" s="24">
        <f t="shared" si="0"/>
        <v>0.64583362268604105</v>
      </c>
    </row>
    <row r="15" spans="2:4" x14ac:dyDescent="0.25">
      <c r="B15" s="21">
        <v>43377.8125</v>
      </c>
      <c r="C15" s="22">
        <v>43378.500000347223</v>
      </c>
      <c r="D15" s="23">
        <f t="shared" si="0"/>
        <v>0.68750034722324926</v>
      </c>
    </row>
    <row r="16" spans="2:4" x14ac:dyDescent="0.25">
      <c r="B16" s="18">
        <v>43378.791666666664</v>
      </c>
      <c r="C16" s="19">
        <v>43379.520833738425</v>
      </c>
      <c r="D16" s="24">
        <f t="shared" si="0"/>
        <v>0.72916707176045747</v>
      </c>
    </row>
    <row r="17" spans="2:4" x14ac:dyDescent="0.25">
      <c r="B17" s="21">
        <v>43379.770833333336</v>
      </c>
      <c r="C17" s="22">
        <v>43380.541667129626</v>
      </c>
      <c r="D17" s="23">
        <f t="shared" si="0"/>
        <v>0.77083379629038973</v>
      </c>
    </row>
    <row r="18" spans="2:4" ht="15.75" thickBot="1" x14ac:dyDescent="0.3">
      <c r="B18" s="18">
        <v>43380.75</v>
      </c>
      <c r="C18" s="19">
        <v>43381.562500520835</v>
      </c>
      <c r="D18" s="25">
        <f t="shared" si="0"/>
        <v>0.8125005208348739</v>
      </c>
    </row>
  </sheetData>
  <mergeCells count="2">
    <mergeCell ref="C2:D2"/>
    <mergeCell ref="C3:D3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2CFB-CCA9-47F6-BF5E-CA17B66E29EC}">
  <dimension ref="A5:O19"/>
  <sheetViews>
    <sheetView workbookViewId="0">
      <selection activeCell="J20" sqref="J20"/>
    </sheetView>
  </sheetViews>
  <sheetFormatPr defaultRowHeight="15" x14ac:dyDescent="0.25"/>
  <cols>
    <col min="1" max="1" width="19" customWidth="1"/>
    <col min="2" max="2" width="15.28515625" bestFit="1" customWidth="1"/>
    <col min="3" max="3" width="13.42578125" bestFit="1" customWidth="1"/>
    <col min="4" max="4" width="13.140625" bestFit="1" customWidth="1"/>
    <col min="5" max="5" width="17.5703125" bestFit="1" customWidth="1"/>
    <col min="6" max="6" width="18.7109375" bestFit="1" customWidth="1"/>
  </cols>
  <sheetData>
    <row r="5" spans="1:15" x14ac:dyDescent="0.25">
      <c r="A5" t="s">
        <v>26</v>
      </c>
    </row>
    <row r="6" spans="1:15" ht="15.75" thickBot="1" x14ac:dyDescent="0.3">
      <c r="A6" s="26" t="s">
        <v>27</v>
      </c>
      <c r="B6" s="26" t="s">
        <v>28</v>
      </c>
      <c r="C6" s="26" t="s">
        <v>29</v>
      </c>
      <c r="D6" s="26" t="s">
        <v>30</v>
      </c>
      <c r="E6" s="26" t="s">
        <v>31</v>
      </c>
      <c r="F6" s="27" t="s">
        <v>11</v>
      </c>
    </row>
    <row r="7" spans="1:15" ht="15.75" thickBot="1" x14ac:dyDescent="0.3">
      <c r="A7" s="28">
        <f>B13</f>
        <v>43526</v>
      </c>
      <c r="B7" s="28">
        <f>C17</f>
        <v>43573</v>
      </c>
      <c r="C7" s="46">
        <f>B7-A7</f>
        <v>47</v>
      </c>
      <c r="D7" s="29">
        <f>Tabela9[[#Totals],[Custo Previsto]]</f>
        <v>11908</v>
      </c>
      <c r="E7" s="30">
        <f>Tabela9[[#Totals],[Custo Realizado]]</f>
        <v>13887</v>
      </c>
      <c r="F7" s="31">
        <f>'[1]Reforma de Casa'!$F$5:$F$5-'[1]Reforma de Casa'!$E$5:$E$5</f>
        <v>1979</v>
      </c>
    </row>
    <row r="11" spans="1:15" ht="21" x14ac:dyDescent="0.25">
      <c r="A11" s="43" t="s">
        <v>32</v>
      </c>
      <c r="B11" s="43"/>
      <c r="C11" s="43"/>
      <c r="D11" s="43"/>
      <c r="E11" s="43"/>
      <c r="F11" s="43"/>
    </row>
    <row r="12" spans="1:15" ht="15.75" thickBot="1" x14ac:dyDescent="0.3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30</v>
      </c>
      <c r="F12" s="2" t="s">
        <v>31</v>
      </c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 t="s">
        <v>37</v>
      </c>
      <c r="B13" s="32">
        <v>43526</v>
      </c>
      <c r="C13" s="32">
        <v>43533</v>
      </c>
      <c r="D13" s="47">
        <f>Tabela9[[#This Row],[Término]]-Tabela9[[#This Row],[Início]]</f>
        <v>7</v>
      </c>
      <c r="E13" s="33">
        <v>1500</v>
      </c>
      <c r="F13" s="33">
        <v>1845</v>
      </c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 t="s">
        <v>38</v>
      </c>
      <c r="B14" s="32">
        <v>43534</v>
      </c>
      <c r="C14" s="32">
        <v>43542</v>
      </c>
      <c r="D14" s="48">
        <f>Tabela9[[#This Row],[Término]]-Tabela9[[#This Row],[Início]]</f>
        <v>8</v>
      </c>
      <c r="E14" s="33">
        <v>4500</v>
      </c>
      <c r="F14" s="33">
        <v>6442</v>
      </c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 t="s">
        <v>39</v>
      </c>
      <c r="B15" s="32">
        <v>43544</v>
      </c>
      <c r="C15" s="32">
        <v>43556</v>
      </c>
      <c r="D15" s="48">
        <f>Tabela9[[#This Row],[Término]]-Tabela9[[#This Row],[Início]]</f>
        <v>12</v>
      </c>
      <c r="E15" s="33">
        <v>3200</v>
      </c>
      <c r="F15" s="33">
        <v>2800</v>
      </c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 t="s">
        <v>40</v>
      </c>
      <c r="B16" s="32">
        <v>43559</v>
      </c>
      <c r="C16" s="32">
        <v>43565</v>
      </c>
      <c r="D16" s="48">
        <f>Tabela9[[#This Row],[Término]]-Tabela9[[#This Row],[Início]]</f>
        <v>6</v>
      </c>
      <c r="E16" s="33">
        <v>1854</v>
      </c>
      <c r="F16" s="33">
        <v>1600</v>
      </c>
      <c r="G16" s="2"/>
      <c r="H16" s="2"/>
      <c r="I16" s="2"/>
      <c r="J16" s="2"/>
      <c r="K16" s="2"/>
      <c r="L16" s="2"/>
      <c r="M16" s="2"/>
      <c r="N16" s="2"/>
      <c r="O16" s="2"/>
    </row>
    <row r="17" spans="1:15" ht="15.75" thickBot="1" x14ac:dyDescent="0.3">
      <c r="A17" s="2" t="s">
        <v>41</v>
      </c>
      <c r="B17" s="32">
        <v>43567</v>
      </c>
      <c r="C17" s="32">
        <v>43573</v>
      </c>
      <c r="D17" s="49">
        <f>Tabela9[[#This Row],[Término]]-Tabela9[[#This Row],[Início]]</f>
        <v>6</v>
      </c>
      <c r="E17" s="33">
        <v>854</v>
      </c>
      <c r="F17" s="33">
        <v>1200</v>
      </c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42</v>
      </c>
      <c r="B18" s="2"/>
      <c r="C18" s="2"/>
      <c r="D18" s="2"/>
      <c r="E18" s="34">
        <f>SUBTOTAL(109,Tabela9[Custo Previsto])</f>
        <v>11908</v>
      </c>
      <c r="F18" s="34">
        <f>SUBTOTAL(109,Tabela9[Custo Realizado])</f>
        <v>13887</v>
      </c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</row>
  </sheetData>
  <mergeCells count="1">
    <mergeCell ref="A11:F1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38B8-47CD-4214-981C-ACFB37E87DA4}">
  <dimension ref="A1:O19"/>
  <sheetViews>
    <sheetView zoomScale="85" zoomScaleNormal="85" workbookViewId="0">
      <selection activeCell="H18" sqref="H18"/>
    </sheetView>
  </sheetViews>
  <sheetFormatPr defaultRowHeight="15" x14ac:dyDescent="0.25"/>
  <cols>
    <col min="3" max="4" width="13.28515625" bestFit="1" customWidth="1"/>
    <col min="5" max="5" width="12.7109375" bestFit="1" customWidth="1"/>
    <col min="6" max="6" width="11.85546875" bestFit="1" customWidth="1"/>
    <col min="11" max="11" width="18.28515625" bestFit="1" customWidth="1"/>
    <col min="12" max="12" width="12.85546875" bestFit="1" customWidth="1"/>
  </cols>
  <sheetData>
    <row r="1" spans="1:15" x14ac:dyDescent="0.25">
      <c r="C1" s="2"/>
      <c r="D1" s="2"/>
      <c r="E1" s="2"/>
      <c r="F1" s="2"/>
    </row>
    <row r="2" spans="1:15" x14ac:dyDescent="0.25">
      <c r="C2" s="2"/>
      <c r="D2" s="2"/>
      <c r="E2" s="2"/>
      <c r="F2" s="2"/>
    </row>
    <row r="3" spans="1:15" ht="18.75" x14ac:dyDescent="0.25">
      <c r="B3" s="35"/>
      <c r="C3" s="44" t="s">
        <v>43</v>
      </c>
      <c r="D3" s="44"/>
      <c r="E3" s="44"/>
      <c r="F3" s="44"/>
      <c r="J3" s="44" t="s">
        <v>44</v>
      </c>
      <c r="K3" s="44"/>
      <c r="L3" s="44"/>
      <c r="M3" s="44"/>
    </row>
    <row r="4" spans="1:15" ht="30" x14ac:dyDescent="0.25">
      <c r="A4" s="36"/>
      <c r="B4" s="36"/>
      <c r="C4" s="36" t="s">
        <v>21</v>
      </c>
      <c r="D4" s="36" t="s">
        <v>45</v>
      </c>
      <c r="E4" s="36" t="s">
        <v>46</v>
      </c>
      <c r="F4" s="36" t="s">
        <v>47</v>
      </c>
      <c r="G4" s="36"/>
      <c r="H4" s="36"/>
      <c r="I4" s="36"/>
      <c r="J4" s="2" t="s">
        <v>48</v>
      </c>
      <c r="K4" s="2" t="s">
        <v>49</v>
      </c>
      <c r="L4" s="2" t="s">
        <v>50</v>
      </c>
      <c r="M4" s="2" t="s">
        <v>51</v>
      </c>
      <c r="N4" s="36"/>
      <c r="O4" s="36"/>
    </row>
    <row r="5" spans="1:15" x14ac:dyDescent="0.25">
      <c r="C5" s="2" t="s">
        <v>52</v>
      </c>
      <c r="D5" s="32">
        <v>42736</v>
      </c>
      <c r="E5" s="2">
        <v>35</v>
      </c>
      <c r="F5" s="32">
        <f>Tabela2429[[#This Row],[Data entrada]]+Tabela2429[[#This Row],[Dias Trabalhados]]</f>
        <v>42771</v>
      </c>
      <c r="J5" s="2" t="s">
        <v>53</v>
      </c>
      <c r="K5" s="32">
        <v>43241</v>
      </c>
      <c r="L5" s="32">
        <v>43244</v>
      </c>
      <c r="M5" s="2">
        <f>Tabela29[[#This Row],[Data real]]-Tabela29[[#This Row],[Data planejada]]</f>
        <v>3</v>
      </c>
    </row>
    <row r="6" spans="1:15" x14ac:dyDescent="0.25">
      <c r="C6" s="2" t="s">
        <v>54</v>
      </c>
      <c r="D6" s="32">
        <v>42737</v>
      </c>
      <c r="E6" s="2">
        <v>36</v>
      </c>
      <c r="F6" s="32">
        <f>Tabela2429[[#This Row],[Data entrada]]+Tabela2429[[#This Row],[Dias Trabalhados]]</f>
        <v>42773</v>
      </c>
      <c r="J6" s="2" t="s">
        <v>55</v>
      </c>
      <c r="K6" s="32">
        <f>K5+1</f>
        <v>43242</v>
      </c>
      <c r="L6" s="32">
        <f>L5+1</f>
        <v>43245</v>
      </c>
      <c r="M6" s="2">
        <f>Tabela29[[#This Row],[Data real]]-Tabela29[[#This Row],[Data planejada]]</f>
        <v>3</v>
      </c>
    </row>
    <row r="7" spans="1:15" x14ac:dyDescent="0.25">
      <c r="C7" s="2" t="s">
        <v>56</v>
      </c>
      <c r="D7" s="32">
        <v>42869</v>
      </c>
      <c r="E7" s="2">
        <v>61</v>
      </c>
      <c r="F7" s="32">
        <f>Tabela2429[[#This Row],[Data entrada]]+Tabela2429[[#This Row],[Dias Trabalhados]]</f>
        <v>42930</v>
      </c>
      <c r="J7" s="2" t="s">
        <v>57</v>
      </c>
      <c r="K7" s="32">
        <f>K6+1</f>
        <v>43243</v>
      </c>
      <c r="L7" s="32">
        <f>L6+1</f>
        <v>43246</v>
      </c>
      <c r="M7" s="2">
        <f>Tabela29[[#This Row],[Data real]]-Tabela29[[#This Row],[Data planejada]]</f>
        <v>3</v>
      </c>
    </row>
    <row r="8" spans="1:15" x14ac:dyDescent="0.25">
      <c r="C8" s="2" t="s">
        <v>58</v>
      </c>
      <c r="D8" s="32">
        <v>41781</v>
      </c>
      <c r="E8" s="2">
        <v>121</v>
      </c>
      <c r="F8" s="32">
        <f>Tabela2429[[#This Row],[Data entrada]]+Tabela2429[[#This Row],[Dias Trabalhados]]</f>
        <v>41902</v>
      </c>
    </row>
    <row r="9" spans="1:15" x14ac:dyDescent="0.25">
      <c r="C9" s="2" t="s">
        <v>59</v>
      </c>
      <c r="D9" s="32">
        <v>40940</v>
      </c>
      <c r="E9" s="2">
        <v>101</v>
      </c>
      <c r="F9" s="32">
        <f>Tabela2429[[#This Row],[Data entrada]]+Tabela2429[[#This Row],[Dias Trabalhados]]</f>
        <v>41041</v>
      </c>
    </row>
    <row r="10" spans="1:15" x14ac:dyDescent="0.25">
      <c r="C10" s="2" t="s">
        <v>4</v>
      </c>
      <c r="D10" s="32">
        <v>40940</v>
      </c>
      <c r="E10" s="2">
        <v>26</v>
      </c>
      <c r="F10" s="32">
        <f>Tabela2429[[#This Row],[Data entrada]]+Tabela2429[[#This Row],[Dias Trabalhados]]</f>
        <v>40966</v>
      </c>
    </row>
    <row r="11" spans="1:15" x14ac:dyDescent="0.25">
      <c r="C11" s="2" t="s">
        <v>60</v>
      </c>
      <c r="D11" s="32">
        <v>42769</v>
      </c>
      <c r="E11" s="2">
        <v>58</v>
      </c>
      <c r="F11" s="32">
        <f>Tabela2429[[#This Row],[Data entrada]]+Tabela2429[[#This Row],[Dias Trabalhados]]</f>
        <v>42827</v>
      </c>
    </row>
    <row r="12" spans="1:15" x14ac:dyDescent="0.25">
      <c r="C12" s="2" t="s">
        <v>61</v>
      </c>
      <c r="D12" s="32">
        <v>37258</v>
      </c>
      <c r="E12" s="2">
        <v>93</v>
      </c>
      <c r="F12" s="32">
        <f>Tabela2429[[#This Row],[Data entrada]]+Tabela2429[[#This Row],[Dias Trabalhados]]</f>
        <v>37351</v>
      </c>
    </row>
    <row r="13" spans="1:15" x14ac:dyDescent="0.25">
      <c r="C13" s="2" t="s">
        <v>62</v>
      </c>
      <c r="D13" s="32">
        <v>42767</v>
      </c>
      <c r="E13" s="2">
        <v>28</v>
      </c>
      <c r="F13" s="32">
        <f>Tabela2429[[#This Row],[Data entrada]]+Tabela2429[[#This Row],[Dias Trabalhados]]</f>
        <v>42795</v>
      </c>
    </row>
    <row r="14" spans="1:15" x14ac:dyDescent="0.25">
      <c r="C14" s="2" t="s">
        <v>7</v>
      </c>
      <c r="D14" s="32">
        <v>41884</v>
      </c>
      <c r="E14" s="2">
        <v>101</v>
      </c>
      <c r="F14" s="32">
        <f>Tabela2429[[#This Row],[Data entrada]]+Tabela2429[[#This Row],[Dias Trabalhados]]</f>
        <v>41985</v>
      </c>
    </row>
    <row r="15" spans="1:15" x14ac:dyDescent="0.25">
      <c r="C15" s="2"/>
      <c r="D15" s="2"/>
      <c r="E15" s="2"/>
      <c r="F15" s="2"/>
    </row>
    <row r="16" spans="1:15" x14ac:dyDescent="0.25">
      <c r="C16" s="2"/>
      <c r="D16" s="2"/>
      <c r="E16" s="2"/>
      <c r="F16" s="2"/>
    </row>
    <row r="17" spans="3:6" x14ac:dyDescent="0.25">
      <c r="C17" s="2"/>
      <c r="D17" s="2"/>
      <c r="E17" s="2"/>
      <c r="F17" s="2"/>
    </row>
    <row r="18" spans="3:6" x14ac:dyDescent="0.25">
      <c r="C18" s="2"/>
      <c r="D18" s="2"/>
      <c r="E18" s="2"/>
      <c r="F18" s="2"/>
    </row>
    <row r="19" spans="3:6" x14ac:dyDescent="0.25">
      <c r="C19" s="2"/>
      <c r="D19" s="2"/>
      <c r="E19" s="2"/>
      <c r="F19" s="2"/>
    </row>
  </sheetData>
  <mergeCells count="2">
    <mergeCell ref="C3:F3"/>
    <mergeCell ref="J3:M3"/>
  </mergeCell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8713-2C98-4330-BE74-8B0375E74991}">
  <dimension ref="C2:H13"/>
  <sheetViews>
    <sheetView tabSelected="1" zoomScale="70" zoomScaleNormal="70" workbookViewId="0">
      <selection activeCell="L13" sqref="L13"/>
    </sheetView>
  </sheetViews>
  <sheetFormatPr defaultRowHeight="15" x14ac:dyDescent="0.25"/>
  <cols>
    <col min="3" max="3" width="13.42578125" bestFit="1" customWidth="1"/>
    <col min="4" max="5" width="17.140625" bestFit="1" customWidth="1"/>
    <col min="6" max="6" width="20.28515625" bestFit="1" customWidth="1"/>
    <col min="8" max="8" width="18.85546875" bestFit="1" customWidth="1"/>
  </cols>
  <sheetData>
    <row r="2" spans="3:8" ht="18.75" x14ac:dyDescent="0.25">
      <c r="C2" s="44" t="s">
        <v>63</v>
      </c>
      <c r="D2" s="44"/>
      <c r="E2" s="44"/>
      <c r="F2" s="44"/>
    </row>
    <row r="3" spans="3:8" ht="15.75" thickBot="1" x14ac:dyDescent="0.3">
      <c r="C3" s="2" t="s">
        <v>64</v>
      </c>
      <c r="D3" s="2" t="s">
        <v>65</v>
      </c>
      <c r="E3" s="2" t="s">
        <v>66</v>
      </c>
      <c r="F3" s="2" t="s">
        <v>67</v>
      </c>
    </row>
    <row r="4" spans="3:8" ht="15.75" thickBot="1" x14ac:dyDescent="0.3">
      <c r="C4" s="2" t="s">
        <v>68</v>
      </c>
      <c r="D4" s="37">
        <v>43453.772222222222</v>
      </c>
      <c r="E4" s="37">
        <v>43453.78125</v>
      </c>
      <c r="F4" s="38">
        <f>Tabela2628[[#This Row],[Entrega]]-Tabela2628[[#This Row],[Saída]]</f>
        <v>9.0277777781011537E-3</v>
      </c>
    </row>
    <row r="5" spans="3:8" ht="15.75" thickBot="1" x14ac:dyDescent="0.3">
      <c r="C5" s="2" t="s">
        <v>69</v>
      </c>
      <c r="D5" s="37">
        <v>43453.78125</v>
      </c>
      <c r="E5" s="37">
        <v>43453.788194444445</v>
      </c>
      <c r="F5" s="38">
        <f>Tabela2628[[#This Row],[Entrega]]-Tabela2628[[#This Row],[Saída]]</f>
        <v>6.9444444452528842E-3</v>
      </c>
    </row>
    <row r="6" spans="3:8" ht="15.75" thickBot="1" x14ac:dyDescent="0.3">
      <c r="C6" s="2" t="s">
        <v>70</v>
      </c>
      <c r="D6" s="37">
        <v>43453.788194444445</v>
      </c>
      <c r="E6" s="37">
        <v>43453.792361111111</v>
      </c>
      <c r="F6" s="38">
        <f>Tabela2628[[#This Row],[Entrega]]-Tabela2628[[#This Row],[Saída]]</f>
        <v>4.166666665696539E-3</v>
      </c>
    </row>
    <row r="7" spans="3:8" ht="15.75" thickBot="1" x14ac:dyDescent="0.3">
      <c r="C7" s="2" t="s">
        <v>71</v>
      </c>
      <c r="D7" s="37">
        <v>43453.803472222222</v>
      </c>
      <c r="E7" s="37">
        <v>43453.824999999997</v>
      </c>
      <c r="F7" s="38">
        <f>Tabela2628[[#This Row],[Entrega]]-Tabela2628[[#This Row],[Saída]]</f>
        <v>2.1527777775190771E-2</v>
      </c>
    </row>
    <row r="8" spans="3:8" ht="15.75" thickBot="1" x14ac:dyDescent="0.3">
      <c r="C8" s="2" t="s">
        <v>72</v>
      </c>
      <c r="D8" s="37">
        <v>43454.885416666664</v>
      </c>
      <c r="E8" s="37">
        <v>43454.929861111108</v>
      </c>
      <c r="F8" s="38">
        <f>Tabela2628[[#This Row],[Entrega]]-Tabela2628[[#This Row],[Saída]]</f>
        <v>4.4444444443797693E-2</v>
      </c>
    </row>
    <row r="9" spans="3:8" ht="15.75" thickBot="1" x14ac:dyDescent="0.3">
      <c r="C9" s="2" t="s">
        <v>73</v>
      </c>
      <c r="D9" s="37">
        <v>43454.886805555558</v>
      </c>
      <c r="E9" s="37">
        <v>43454.895138888889</v>
      </c>
      <c r="F9" s="38">
        <f>Tabela2628[[#This Row],[Entrega]]-Tabela2628[[#This Row],[Saída]]</f>
        <v>8.333333331393078E-3</v>
      </c>
      <c r="H9" t="s">
        <v>74</v>
      </c>
    </row>
    <row r="10" spans="3:8" ht="15.75" thickBot="1" x14ac:dyDescent="0.3">
      <c r="C10" s="2" t="s">
        <v>75</v>
      </c>
      <c r="D10" s="37">
        <v>43454.927083333336</v>
      </c>
      <c r="E10" s="37">
        <v>43454.939583333333</v>
      </c>
      <c r="F10" s="38">
        <f>Tabela2628[[#This Row],[Entrega]]-Tabela2628[[#This Row],[Saída]]</f>
        <v>1.2499999997089617E-2</v>
      </c>
      <c r="H10" s="39"/>
    </row>
    <row r="11" spans="3:8" ht="15.75" thickBot="1" x14ac:dyDescent="0.3">
      <c r="C11" s="2" t="s">
        <v>76</v>
      </c>
      <c r="D11" s="37">
        <v>43454.974305555559</v>
      </c>
      <c r="E11" s="37">
        <v>43455.017361111109</v>
      </c>
      <c r="F11" s="38">
        <f>Tabela2628[[#This Row],[Entrega]]-Tabela2628[[#This Row],[Saída]]</f>
        <v>4.3055555550381541E-2</v>
      </c>
    </row>
    <row r="12" spans="3:8" ht="15.75" thickBot="1" x14ac:dyDescent="0.3">
      <c r="C12" s="2" t="s">
        <v>77</v>
      </c>
      <c r="D12" s="37">
        <v>43455.74722222222</v>
      </c>
      <c r="E12" s="37">
        <v>43455.75</v>
      </c>
      <c r="F12" s="38">
        <f>Tabela2628[[#This Row],[Entrega]]-Tabela2628[[#This Row],[Saída]]</f>
        <v>2.7777777795563452E-3</v>
      </c>
    </row>
    <row r="13" spans="3:8" x14ac:dyDescent="0.25">
      <c r="C13" s="2" t="s">
        <v>78</v>
      </c>
      <c r="D13" s="37">
        <v>43455.748611111114</v>
      </c>
      <c r="E13" s="37">
        <v>43455.800694444442</v>
      </c>
      <c r="F13" s="38">
        <f>Tabela2628[[#This Row],[Entrega]]-Tabela2628[[#This Row],[Saída]]</f>
        <v>5.2083333328482695E-2</v>
      </c>
    </row>
  </sheetData>
  <mergeCells count="1">
    <mergeCell ref="C2:F2"/>
  </mergeCell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Gráficos</vt:lpstr>
      </vt:variant>
      <vt:variant>
        <vt:i4>1</vt:i4>
      </vt:variant>
    </vt:vector>
  </HeadingPairs>
  <TitlesOfParts>
    <vt:vector size="8" baseType="lpstr">
      <vt:lpstr>Parte Inteira (INT)</vt:lpstr>
      <vt:lpstr>Módulo ABS</vt:lpstr>
      <vt:lpstr>Planilha3</vt:lpstr>
      <vt:lpstr>Horas trabalhadas</vt:lpstr>
      <vt:lpstr>Reforma de Casa</vt:lpstr>
      <vt:lpstr>Cálculo de data</vt:lpstr>
      <vt:lpstr>Cálculo Hora Pizza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S. da Luz</dc:creator>
  <cp:lastModifiedBy>RICARDO LEITE DA SILVA ROCHA</cp:lastModifiedBy>
  <dcterms:created xsi:type="dcterms:W3CDTF">2025-11-11T22:19:53Z</dcterms:created>
  <dcterms:modified xsi:type="dcterms:W3CDTF">2025-11-11T23:49:00Z</dcterms:modified>
</cp:coreProperties>
</file>