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B0F510FA-4D8B-4B2A-A4DC-3B99F506E96A}" xr6:coauthVersionLast="36" xr6:coauthVersionMax="36" xr10:uidLastSave="{00000000-0000-0000-0000-000000000000}"/>
  <bookViews>
    <workbookView xWindow="30195" yWindow="1380" windowWidth="21600" windowHeight="11235" firstSheet="1" activeTab="5" xr2:uid="{1FA730CC-3C57-4406-A0E6-2A7623A73B36}"/>
  </bookViews>
  <sheets>
    <sheet name="Funções de texto" sheetId="1" r:id="rId1"/>
    <sheet name="Arrumar" sheetId="2" r:id="rId2"/>
    <sheet name="Concatenar" sheetId="3" r:id="rId3"/>
    <sheet name="UnirTexto 1" sheetId="4" r:id="rId4"/>
    <sheet name="Unirtexto 2" sheetId="5" r:id="rId5"/>
    <sheet name="Desafio Final Funções Text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F4" i="5"/>
  <c r="F5" i="5"/>
  <c r="F6" i="5"/>
  <c r="F7" i="5"/>
  <c r="F8" i="5"/>
  <c r="F9" i="5"/>
  <c r="F10" i="5"/>
  <c r="E4" i="6" l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E1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K9" i="3"/>
  <c r="K8" i="3"/>
  <c r="F3" i="5"/>
  <c r="B16" i="4"/>
  <c r="F14" i="4"/>
  <c r="K7" i="3"/>
  <c r="K6" i="3"/>
  <c r="K5" i="3"/>
  <c r="K4" i="3"/>
  <c r="B2" i="2"/>
</calcChain>
</file>

<file path=xl/sharedStrings.xml><?xml version="1.0" encoding="utf-8"?>
<sst xmlns="http://schemas.openxmlformats.org/spreadsheetml/2006/main" count="224" uniqueCount="172">
  <si>
    <t>Nome Completo</t>
  </si>
  <si>
    <t>Arrumar</t>
  </si>
  <si>
    <t>Pri.Maiúscula</t>
  </si>
  <si>
    <t>Maiúscula</t>
  </si>
  <si>
    <t>Minúscula</t>
  </si>
  <si>
    <t>Pri.Maiúscula + Arrumar</t>
  </si>
  <si>
    <t>eduardo                                yto</t>
  </si>
  <si>
    <t>tallia                                maria</t>
  </si>
  <si>
    <t>victor                                souza</t>
  </si>
  <si>
    <t>guilherme                                moura</t>
  </si>
  <si>
    <t>marcos                                miranda</t>
  </si>
  <si>
    <t>mariana                                martins</t>
  </si>
  <si>
    <t>judith                                matos</t>
  </si>
  <si>
    <t>edicréia                                xavier</t>
  </si>
  <si>
    <t>luzinete                                zonta</t>
  </si>
  <si>
    <t>quincas                                gaspar</t>
  </si>
  <si>
    <t>josé                                hugo</t>
  </si>
  <si>
    <t>keiti                                santana</t>
  </si>
  <si>
    <t>carla                                mota</t>
  </si>
  <si>
    <t>amélia                                silva</t>
  </si>
  <si>
    <t>DADOS PESSOAIS</t>
  </si>
  <si>
    <t>SALÁRIO</t>
  </si>
  <si>
    <t>Cód.</t>
  </si>
  <si>
    <t>Funcionário</t>
  </si>
  <si>
    <t>Cargo</t>
  </si>
  <si>
    <t>Sal. Bruto</t>
  </si>
  <si>
    <t>Eduardo Yto</t>
  </si>
  <si>
    <t>Aux. Limpeza</t>
  </si>
  <si>
    <t>Luzinete Lima</t>
  </si>
  <si>
    <t>Limpeza</t>
  </si>
  <si>
    <t>Carmen Oliveira</t>
  </si>
  <si>
    <t>Aux. Escritório</t>
  </si>
  <si>
    <t>Mariana Godoy</t>
  </si>
  <si>
    <t>Secretária</t>
  </si>
  <si>
    <t>Caren Lusitano</t>
  </si>
  <si>
    <t>Gerente</t>
  </si>
  <si>
    <t>Leonardo de Sá</t>
  </si>
  <si>
    <t>Telemarketing</t>
  </si>
  <si>
    <t>Tereza Souza</t>
  </si>
  <si>
    <t>Sérgio Pereira</t>
  </si>
  <si>
    <t>Sydnei Luís</t>
  </si>
  <si>
    <t>Office Boy</t>
  </si>
  <si>
    <t>Joselito Hermes</t>
  </si>
  <si>
    <t>João Carlos</t>
  </si>
  <si>
    <t>Aurélio Miguel</t>
  </si>
  <si>
    <t>Não esqueça de colocar aspas para o texto da função Arrumar</t>
  </si>
  <si>
    <t>Formulário de cadastramento</t>
  </si>
  <si>
    <t>Nome</t>
  </si>
  <si>
    <t>Segundo Nome</t>
  </si>
  <si>
    <t>Sobrenome</t>
  </si>
  <si>
    <t>Data de Nascimento</t>
  </si>
  <si>
    <t>Cidade</t>
  </si>
  <si>
    <t>UF</t>
  </si>
  <si>
    <t>Nome completo e data do Nascimento:</t>
  </si>
  <si>
    <t>Eduardo</t>
  </si>
  <si>
    <t>Yoshio</t>
  </si>
  <si>
    <t>Yto</t>
  </si>
  <si>
    <t>Foz do Iguaçu</t>
  </si>
  <si>
    <t>PR</t>
  </si>
  <si>
    <t>Luzinete</t>
  </si>
  <si>
    <t>Bezerra</t>
  </si>
  <si>
    <t>Lima</t>
  </si>
  <si>
    <t>Osasco</t>
  </si>
  <si>
    <t>SP</t>
  </si>
  <si>
    <t>Camila</t>
  </si>
  <si>
    <t>Patrícia</t>
  </si>
  <si>
    <t>Dias</t>
  </si>
  <si>
    <t>São Paulo</t>
  </si>
  <si>
    <t>Cláudio</t>
  </si>
  <si>
    <t>Ricardo</t>
  </si>
  <si>
    <t>Nunes</t>
  </si>
  <si>
    <t>Cotia</t>
  </si>
  <si>
    <t>Maria</t>
  </si>
  <si>
    <t>Amélia</t>
  </si>
  <si>
    <t>Sousa</t>
  </si>
  <si>
    <t>Landri Sales</t>
  </si>
  <si>
    <t>PI</t>
  </si>
  <si>
    <t>Victor</t>
  </si>
  <si>
    <t>Hugo</t>
  </si>
  <si>
    <t>Marques</t>
  </si>
  <si>
    <t>São Caetano do Sul</t>
  </si>
  <si>
    <t>Nome completo e data do Nascimento "Aleatório":</t>
  </si>
  <si>
    <t>Matriz como referência</t>
  </si>
  <si>
    <t>Exemplo</t>
  </si>
  <si>
    <t>de</t>
  </si>
  <si>
    <t>como</t>
  </si>
  <si>
    <t>o</t>
  </si>
  <si>
    <t>Excel</t>
  </si>
  <si>
    <t>trabalha</t>
  </si>
  <si>
    <t>unindo</t>
  </si>
  <si>
    <t>as</t>
  </si>
  <si>
    <t>matrizes</t>
  </si>
  <si>
    <t>Resultado</t>
  </si>
  <si>
    <t>UNIRTEXTO</t>
  </si>
  <si>
    <t>Estamos</t>
  </si>
  <si>
    <t>juntando</t>
  </si>
  <si>
    <t>todas estas células</t>
  </si>
  <si>
    <t>com o método</t>
  </si>
  <si>
    <t>desta aula</t>
  </si>
  <si>
    <t>FUNÇÃO UNIRTEXTO</t>
  </si>
  <si>
    <t>Logradouro</t>
  </si>
  <si>
    <t>Estado</t>
  </si>
  <si>
    <t>UNIRTEXTO [apenas no office 365]</t>
  </si>
  <si>
    <t>Ana Gates</t>
  </si>
  <si>
    <t>Rua Amaral Neto 234</t>
  </si>
  <si>
    <t>Barueri</t>
  </si>
  <si>
    <t>Marcos Emílio</t>
  </si>
  <si>
    <t>Rua dos Andrades 1000</t>
  </si>
  <si>
    <t>Gildete Maria</t>
  </si>
  <si>
    <t>Via Cunha Matos 23</t>
  </si>
  <si>
    <t>Ruth Gomes</t>
  </si>
  <si>
    <t>Alameda Araguaiana 100</t>
  </si>
  <si>
    <t>Guarulhos</t>
  </si>
  <si>
    <t>Euzébio Matos</t>
  </si>
  <si>
    <t>Avenida Policarpo Sá 129</t>
  </si>
  <si>
    <t>Campinas</t>
  </si>
  <si>
    <t>Anderson Costa</t>
  </si>
  <si>
    <t>Travessa Guido Sergio 12</t>
  </si>
  <si>
    <t>Sorocaba</t>
  </si>
  <si>
    <t>William Martins</t>
  </si>
  <si>
    <t>Rua Batatais 100</t>
  </si>
  <si>
    <t>Indaiatuba</t>
  </si>
  <si>
    <t>Sheila Carlos</t>
  </si>
  <si>
    <t>Rua Floriano Peixoto 200</t>
  </si>
  <si>
    <t>Vamos usar virgula como delimitador</t>
  </si>
  <si>
    <t>Arrumar Nome</t>
  </si>
  <si>
    <t>Arrumar Sobrenome</t>
  </si>
  <si>
    <t>Idade</t>
  </si>
  <si>
    <t>Departamento</t>
  </si>
  <si>
    <t>Extensão para novo e-mail</t>
  </si>
  <si>
    <t>Novo E-mail</t>
  </si>
  <si>
    <t xml:space="preserve">Ana                               </t>
  </si>
  <si>
    <t xml:space="preserve">        Nunes</t>
  </si>
  <si>
    <t>TI</t>
  </si>
  <si>
    <t>contoso.net.br</t>
  </si>
  <si>
    <t xml:space="preserve">Maria                       </t>
  </si>
  <si>
    <t xml:space="preserve">        Aguiar</t>
  </si>
  <si>
    <t>ADM</t>
  </si>
  <si>
    <t xml:space="preserve">Ceres               </t>
  </si>
  <si>
    <t xml:space="preserve">        Estevez</t>
  </si>
  <si>
    <t>FIN</t>
  </si>
  <si>
    <t xml:space="preserve">Marcia                    </t>
  </si>
  <si>
    <t xml:space="preserve">        Dias</t>
  </si>
  <si>
    <t>LOG</t>
  </si>
  <si>
    <t xml:space="preserve">Tamara             </t>
  </si>
  <si>
    <t xml:space="preserve">           Danubio</t>
  </si>
  <si>
    <t>COM</t>
  </si>
  <si>
    <t xml:space="preserve">Valter                 </t>
  </si>
  <si>
    <t xml:space="preserve">         Fortes</t>
  </si>
  <si>
    <t xml:space="preserve">Victor              </t>
  </si>
  <si>
    <t xml:space="preserve">          Silva</t>
  </si>
  <si>
    <t xml:space="preserve">Camila           </t>
  </si>
  <si>
    <t xml:space="preserve">        Souza</t>
  </si>
  <si>
    <t xml:space="preserve">Denise                 </t>
  </si>
  <si>
    <t xml:space="preserve">      Alencar</t>
  </si>
  <si>
    <t xml:space="preserve">Dilza              </t>
  </si>
  <si>
    <t xml:space="preserve">      Sotero</t>
  </si>
  <si>
    <t xml:space="preserve">Elenice                            </t>
  </si>
  <si>
    <t xml:space="preserve">         Mathias</t>
  </si>
  <si>
    <t xml:space="preserve">Marcos                    </t>
  </si>
  <si>
    <t xml:space="preserve">       Novaes</t>
  </si>
  <si>
    <t xml:space="preserve">Bruno                  </t>
  </si>
  <si>
    <t xml:space="preserve">    Quincas</t>
  </si>
  <si>
    <t xml:space="preserve">Bruna             </t>
  </si>
  <si>
    <t xml:space="preserve">      Carlos</t>
  </si>
  <si>
    <t xml:space="preserve">Cilene            </t>
  </si>
  <si>
    <t xml:space="preserve">      Vaz</t>
  </si>
  <si>
    <t xml:space="preserve">Jessica      </t>
  </si>
  <si>
    <t xml:space="preserve">      Godoi</t>
  </si>
  <si>
    <t xml:space="preserve">Gildete          </t>
  </si>
  <si>
    <t xml:space="preserve">     Saturnino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</si>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</sst>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8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3">
    <border>
      <left/>
      <right/>
      <top/>
      <bottom/>
      <diagonal/>
    </border>
    <border>
      <left style="thin">
        <color theme="4" tint="0.59999389629810485"/>
      </left>
      <right/>
      <top style="thin">
        <color theme="4" tint="-0.249977111117893"/>
      </top>
      <bottom style="double">
        <color theme="4" tint="-0.249977111117893"/>
      </bottom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  <border>
      <left/>
      <right style="thin">
        <color theme="4" tint="0.59999389629810485"/>
      </right>
      <top style="thin">
        <color theme="4" tint="-0.249977111117893"/>
      </top>
      <bottom style="double">
        <color theme="4" tint="-0.249977111117893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double">
        <color theme="4" tint="-0.249977111117893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4" fillId="5" borderId="1" xfId="0" applyFont="1" applyFill="1" applyBorder="1"/>
    <xf numFmtId="0" fontId="5" fillId="0" borderId="4" xfId="0" applyFont="1" applyBorder="1"/>
    <xf numFmtId="0" fontId="6" fillId="5" borderId="5" xfId="0" applyFont="1" applyFill="1" applyBorder="1"/>
    <xf numFmtId="44" fontId="6" fillId="5" borderId="5" xfId="1" applyFont="1" applyFill="1" applyBorder="1"/>
    <xf numFmtId="0" fontId="6" fillId="0" borderId="6" xfId="0" applyFont="1" applyBorder="1"/>
    <xf numFmtId="44" fontId="6" fillId="0" borderId="6" xfId="1" applyFont="1" applyBorder="1"/>
    <xf numFmtId="0" fontId="6" fillId="5" borderId="6" xfId="0" applyFont="1" applyFill="1" applyBorder="1"/>
    <xf numFmtId="44" fontId="6" fillId="5" borderId="6" xfId="1" applyFont="1" applyFill="1" applyBorder="1"/>
    <xf numFmtId="0" fontId="2" fillId="2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/>
    <xf numFmtId="0" fontId="0" fillId="0" borderId="7" xfId="0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17" xfId="0" applyFont="1" applyBorder="1" applyAlignment="1">
      <alignment horizontal="centerContinuous" vertical="center"/>
    </xf>
    <xf numFmtId="0" fontId="0" fillId="0" borderId="18" xfId="0" applyBorder="1" applyAlignment="1">
      <alignment horizontal="centerContinuous"/>
    </xf>
    <xf numFmtId="0" fontId="0" fillId="0" borderId="19" xfId="0" applyBorder="1" applyAlignment="1">
      <alignment horizontal="centerContinuous"/>
    </xf>
    <xf numFmtId="0" fontId="2" fillId="7" borderId="20" xfId="0" applyFont="1" applyFill="1" applyBorder="1" applyAlignment="1">
      <alignment horizontal="center" vertical="center"/>
    </xf>
    <xf numFmtId="0" fontId="0" fillId="8" borderId="20" xfId="0" applyFill="1" applyBorder="1"/>
    <xf numFmtId="0" fontId="0" fillId="8" borderId="21" xfId="0" applyFill="1" applyBorder="1"/>
    <xf numFmtId="0" fontId="0" fillId="8" borderId="0" xfId="0" applyFill="1"/>
    <xf numFmtId="0" fontId="0" fillId="0" borderId="22" xfId="0" applyBorder="1"/>
    <xf numFmtId="0" fontId="1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1" fillId="0" borderId="0" xfId="2"/>
    <xf numFmtId="0" fontId="2" fillId="6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 vertical="center" wrapText="1"/>
    </xf>
    <xf numFmtId="0" fontId="0" fillId="0" borderId="0" xfId="0" applyBorder="1"/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/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4</xdr:row>
      <xdr:rowOff>95250</xdr:rowOff>
    </xdr:from>
    <xdr:to>
      <xdr:col>13</xdr:col>
      <xdr:colOff>266700</xdr:colOff>
      <xdr:row>14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629FC58-F269-4C6B-BDDF-D493C76DD424}"/>
            </a:ext>
          </a:extLst>
        </xdr:cNvPr>
        <xdr:cNvSpPr txBox="1"/>
      </xdr:nvSpPr>
      <xdr:spPr>
        <a:xfrm>
          <a:off x="8496300" y="857250"/>
          <a:ext cx="3629025" cy="1838325"/>
        </a:xfrm>
        <a:prstGeom prst="rect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tx1"/>
              </a:solidFill>
            </a:rPr>
            <a:t>ultimo</a:t>
          </a:r>
          <a:r>
            <a:rPr lang="pt-BR" sz="1600" baseline="0">
              <a:solidFill>
                <a:schemeClr val="tx1"/>
              </a:solidFill>
            </a:rPr>
            <a:t> =arruma Nome Completo</a:t>
          </a:r>
        </a:p>
        <a:p>
          <a:endParaRPr lang="pt-BR" sz="1600" baseline="0">
            <a:solidFill>
              <a:schemeClr val="tx1"/>
            </a:solidFill>
          </a:endParaRPr>
        </a:p>
        <a:p>
          <a:r>
            <a:rPr lang="pt-BR" sz="1600">
              <a:solidFill>
                <a:schemeClr val="tx1"/>
              </a:solidFill>
            </a:rPr>
            <a:t>=PRI.MAIÚSCULA(ARRUMAR([@[Nome Completo]]))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3</xdr:row>
      <xdr:rowOff>85725</xdr:rowOff>
    </xdr:from>
    <xdr:to>
      <xdr:col>15</xdr:col>
      <xdr:colOff>287203</xdr:colOff>
      <xdr:row>14</xdr:row>
      <xdr:rowOff>150149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C95BE873-BC62-4867-870E-DC935EB83294}"/>
            </a:ext>
          </a:extLst>
        </xdr:cNvPr>
        <xdr:cNvSpPr/>
      </xdr:nvSpPr>
      <xdr:spPr>
        <a:xfrm>
          <a:off x="5676900" y="657225"/>
          <a:ext cx="5316403" cy="2083724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7</xdr:col>
      <xdr:colOff>171289</xdr:colOff>
      <xdr:row>3</xdr:row>
      <xdr:rowOff>164745</xdr:rowOff>
    </xdr:from>
    <xdr:to>
      <xdr:col>14</xdr:col>
      <xdr:colOff>250370</xdr:colOff>
      <xdr:row>5</xdr:row>
      <xdr:rowOff>125927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1BE1FC11-D479-4BC4-9331-15AEB4981B60}"/>
            </a:ext>
          </a:extLst>
        </xdr:cNvPr>
        <xdr:cNvSpPr txBox="1"/>
      </xdr:nvSpPr>
      <xdr:spPr>
        <a:xfrm>
          <a:off x="6000589" y="736245"/>
          <a:ext cx="4346281" cy="351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7</xdr:col>
      <xdr:colOff>165733</xdr:colOff>
      <xdr:row>6</xdr:row>
      <xdr:rowOff>53740</xdr:rowOff>
    </xdr:from>
    <xdr:to>
      <xdr:col>14</xdr:col>
      <xdr:colOff>192141</xdr:colOff>
      <xdr:row>6</xdr:row>
      <xdr:rowOff>53740</xdr:rowOff>
    </xdr:to>
    <xdr:cxnSp macro="">
      <xdr:nvCxnSpPr>
        <xdr:cNvPr id="4" name="Linha superior" descr="Linha decorativa">
          <a:extLst>
            <a:ext uri="{FF2B5EF4-FFF2-40B4-BE49-F238E27FC236}">
              <a16:creationId xmlns:a16="http://schemas.microsoft.com/office/drawing/2014/main" id="{13FB7753-4C6B-4397-BAB2-F72F06BCA451}"/>
            </a:ext>
          </a:extLst>
        </xdr:cNvPr>
        <xdr:cNvCxnSpPr>
          <a:cxnSpLocks/>
        </xdr:cNvCxnSpPr>
      </xdr:nvCxnSpPr>
      <xdr:spPr>
        <a:xfrm>
          <a:off x="5995033" y="1196740"/>
          <a:ext cx="4293608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47059</xdr:colOff>
      <xdr:row>6</xdr:row>
      <xdr:rowOff>149501</xdr:rowOff>
    </xdr:from>
    <xdr:to>
      <xdr:col>15</xdr:col>
      <xdr:colOff>288907</xdr:colOff>
      <xdr:row>15</xdr:row>
      <xdr:rowOff>74295</xdr:rowOff>
    </xdr:to>
    <xdr:sp macro="" textlink="">
      <xdr:nvSpPr>
        <xdr:cNvPr id="5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09515F0C-57EC-4BF1-AAD2-3F2E7F4DC29A}"/>
            </a:ext>
          </a:extLst>
        </xdr:cNvPr>
        <xdr:cNvSpPr txBox="1"/>
      </xdr:nvSpPr>
      <xdr:spPr>
        <a:xfrm>
          <a:off x="5876359" y="1292501"/>
          <a:ext cx="5118648" cy="15535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Precisamos Arrumar</a:t>
          </a:r>
          <a:r>
            <a:rPr lang="pt-BR" sz="1100" b="0" i="0" u="none" strike="noStrike" kern="120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o Título da atividade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Utilizaremos a função: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Arrumar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514350</xdr:colOff>
      <xdr:row>2</xdr:row>
      <xdr:rowOff>161925</xdr:rowOff>
    </xdr:from>
    <xdr:ext cx="2428870" cy="60901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F7DB81F-6383-47B4-86EF-C13FEE8AC3FB}"/>
            </a:ext>
          </a:extLst>
        </xdr:cNvPr>
        <xdr:cNvSpPr txBox="1"/>
      </xdr:nvSpPr>
      <xdr:spPr>
        <a:xfrm>
          <a:off x="10092690" y="659130"/>
          <a:ext cx="2428870" cy="60901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Dependendo da versão que esteja</a:t>
          </a:r>
          <a:br>
            <a:rPr lang="pt-BR" sz="1100"/>
          </a:br>
          <a:r>
            <a:rPr lang="pt-BR" sz="1100"/>
            <a:t>utilizando neste momento, talvez </a:t>
          </a:r>
          <a:br>
            <a:rPr lang="pt-BR" sz="1100"/>
          </a:br>
          <a:r>
            <a:rPr lang="pt-BR" sz="1100"/>
            <a:t>não tenho disponível a função CONCAT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76200</xdr:rowOff>
    </xdr:from>
    <xdr:to>
      <xdr:col>19</xdr:col>
      <xdr:colOff>325712</xdr:colOff>
      <xdr:row>14</xdr:row>
      <xdr:rowOff>160718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E4C78A85-3621-4B16-8087-CF96C73FC4E9}"/>
            </a:ext>
          </a:extLst>
        </xdr:cNvPr>
        <xdr:cNvSpPr/>
      </xdr:nvSpPr>
      <xdr:spPr>
        <a:xfrm>
          <a:off x="7019925" y="257175"/>
          <a:ext cx="5897837" cy="2094293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10</xdr:col>
      <xdr:colOff>321806</xdr:colOff>
      <xdr:row>1</xdr:row>
      <xdr:rowOff>155260</xdr:rowOff>
    </xdr:from>
    <xdr:to>
      <xdr:col>17</xdr:col>
      <xdr:colOff>370515</xdr:colOff>
      <xdr:row>3</xdr:row>
      <xdr:rowOff>149005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B6DC316F-89D6-48DE-8DA0-24898BDF7E38}"/>
            </a:ext>
          </a:extLst>
        </xdr:cNvPr>
        <xdr:cNvSpPr txBox="1"/>
      </xdr:nvSpPr>
      <xdr:spPr>
        <a:xfrm>
          <a:off x="7341731" y="336235"/>
          <a:ext cx="4382584" cy="355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10</xdr:col>
      <xdr:colOff>316346</xdr:colOff>
      <xdr:row>4</xdr:row>
      <xdr:rowOff>78776</xdr:rowOff>
    </xdr:from>
    <xdr:to>
      <xdr:col>17</xdr:col>
      <xdr:colOff>324047</xdr:colOff>
      <xdr:row>4</xdr:row>
      <xdr:rowOff>78776</xdr:rowOff>
    </xdr:to>
    <xdr:cxnSp macro="">
      <xdr:nvCxnSpPr>
        <xdr:cNvPr id="4" name="Linha superior" descr="Linha decorativa">
          <a:extLst>
            <a:ext uri="{FF2B5EF4-FFF2-40B4-BE49-F238E27FC236}">
              <a16:creationId xmlns:a16="http://schemas.microsoft.com/office/drawing/2014/main" id="{0048FD98-E4F8-4B12-9B97-90BB38E88818}"/>
            </a:ext>
          </a:extLst>
        </xdr:cNvPr>
        <xdr:cNvCxnSpPr>
          <a:cxnSpLocks/>
        </xdr:cNvCxnSpPr>
      </xdr:nvCxnSpPr>
      <xdr:spPr>
        <a:xfrm>
          <a:off x="7336271" y="802676"/>
          <a:ext cx="43415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198347</xdr:colOff>
      <xdr:row>4</xdr:row>
      <xdr:rowOff>172677</xdr:rowOff>
    </xdr:from>
    <xdr:to>
      <xdr:col>19</xdr:col>
      <xdr:colOff>324135</xdr:colOff>
      <xdr:row>14</xdr:row>
      <xdr:rowOff>114995</xdr:rowOff>
    </xdr:to>
    <xdr:sp macro="" textlink="">
      <xdr:nvSpPr>
        <xdr:cNvPr id="5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C67804E2-B5B6-4872-9C95-D2CFE6B9D219}"/>
            </a:ext>
          </a:extLst>
        </xdr:cNvPr>
        <xdr:cNvSpPr txBox="1"/>
      </xdr:nvSpPr>
      <xdr:spPr>
        <a:xfrm>
          <a:off x="7218272" y="896577"/>
          <a:ext cx="5697913" cy="1409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 campo resultado precisamos trazer o conteúdo distribuído no intervalo de E3:G5.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Utilizaremos a função: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Concat.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120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Observação Importante: Se na sua versão do Excel não existir a função Concat, fique tranquilo, pois, poderá usar a função Concatenar, mas com muito mais trabalho.</a:t>
          </a:r>
          <a:endParaRPr kumimoji="0" lang="en-US" sz="1050" b="1" i="0" u="none" strike="noStrike" kern="0" cap="none" spc="0" normalizeH="0" baseline="0">
            <a:ln>
              <a:noFill/>
            </a:ln>
            <a:solidFill>
              <a:srgbClr val="FF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2</xdr:row>
      <xdr:rowOff>190500</xdr:rowOff>
    </xdr:from>
    <xdr:to>
      <xdr:col>13</xdr:col>
      <xdr:colOff>180975</xdr:colOff>
      <xdr:row>16</xdr:row>
      <xdr:rowOff>238124</xdr:rowOff>
    </xdr:to>
    <xdr:sp macro="" textlink="">
      <xdr:nvSpPr>
        <xdr:cNvPr id="2" name="CaixaDeTexto 1" descr="Novo Teste" title="Teste">
          <a:extLst>
            <a:ext uri="{FF2B5EF4-FFF2-40B4-BE49-F238E27FC236}">
              <a16:creationId xmlns:a16="http://schemas.microsoft.com/office/drawing/2014/main" id="{0ACAED08-830B-4951-BC95-F7AD4E228C09}"/>
            </a:ext>
          </a:extLst>
        </xdr:cNvPr>
        <xdr:cNvSpPr txBox="1"/>
      </xdr:nvSpPr>
      <xdr:spPr>
        <a:xfrm>
          <a:off x="8488680" y="685800"/>
          <a:ext cx="3806190" cy="3516629"/>
        </a:xfrm>
        <a:prstGeom prst="teardrop">
          <a:avLst>
            <a:gd name="adj" fmla="val 97990"/>
          </a:avLst>
        </a:prstGeom>
        <a:solidFill>
          <a:schemeClr val="accent4">
            <a:alpha val="41000"/>
          </a:schemeClr>
        </a:solidFill>
        <a:ln w="38100">
          <a:solidFill>
            <a:schemeClr val="accent4">
              <a:lumMod val="60000"/>
              <a:lumOff val="40000"/>
            </a:schemeClr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0" i="0" u="none" strike="noStrike">
              <a:solidFill>
                <a:sysClr val="windowText" lastClr="000000"/>
              </a:solidFill>
              <a:effectLst/>
              <a:latin typeface="Segoe UI" panose="020B0502040204020203" pitchFamily="34" charset="0"/>
            </a:rPr>
            <a:t>As novas funções </a:t>
          </a:r>
          <a:r>
            <a:rPr lang="pt-BR" sz="1200" b="1" i="0" u="none" strike="noStrike">
              <a:solidFill>
                <a:sysClr val="windowText" lastClr="000000"/>
              </a:solidFill>
              <a:effectLst/>
              <a:latin typeface="Segoe UI" panose="020B0502040204020203" pitchFamily="34" charset="0"/>
            </a:rPr>
            <a:t>UNIRTEXTO</a:t>
          </a:r>
          <a:r>
            <a:rPr lang="pt-BR" sz="1200" b="0" i="0" u="none" strike="noStrike">
              <a:solidFill>
                <a:sysClr val="windowText" lastClr="000000"/>
              </a:solidFill>
              <a:effectLst/>
              <a:latin typeface="Segoe UI" panose="020B0502040204020203" pitchFamily="34" charset="0"/>
            </a:rPr>
            <a:t> e </a:t>
          </a:r>
          <a:r>
            <a:rPr lang="pt-BR" sz="1200" b="1" i="0" u="none" strike="noStrike">
              <a:solidFill>
                <a:sysClr val="windowText" lastClr="000000"/>
              </a:solidFill>
              <a:effectLst/>
              <a:latin typeface="Segoe UI" panose="020B0502040204020203" pitchFamily="34" charset="0"/>
            </a:rPr>
            <a:t>CONCAT</a:t>
          </a:r>
          <a:r>
            <a:rPr lang="pt-BR" sz="1200" b="0" i="0" u="none" strike="noStrike">
              <a:solidFill>
                <a:sysClr val="windowText" lastClr="000000"/>
              </a:solidFill>
              <a:effectLst/>
              <a:latin typeface="Segoe UI" panose="020B0502040204020203" pitchFamily="34" charset="0"/>
            </a:rPr>
            <a:t> permitem combinar sequências de texto de intervalos de células usando ou não delimitadores, como vírgulas separando cada item. Você pode simplesmente se referir ao intervalo e especificar o delimitador uma vez e deixar o Excel fazer todo o trabalho pesado.</a:t>
          </a:r>
          <a:endParaRPr lang="pt-BR" sz="1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205687</xdr:colOff>
      <xdr:row>4</xdr:row>
      <xdr:rowOff>159784</xdr:rowOff>
    </xdr:from>
    <xdr:ext cx="45719" cy="45719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AEC8D83-6E94-4AEE-99C0-6176C2CAF27E}"/>
            </a:ext>
          </a:extLst>
        </xdr:cNvPr>
        <xdr:cNvSpPr txBox="1"/>
      </xdr:nvSpPr>
      <xdr:spPr>
        <a:xfrm flipV="1">
          <a:off x="11429947" y="1066564"/>
          <a:ext cx="4571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19049</xdr:colOff>
      <xdr:row>20</xdr:row>
      <xdr:rowOff>133350</xdr:rowOff>
    </xdr:from>
    <xdr:to>
      <xdr:col>8</xdr:col>
      <xdr:colOff>2124074</xdr:colOff>
      <xdr:row>33</xdr:row>
      <xdr:rowOff>19049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3326AC0-18D7-498B-856B-D72176F1F5A5}"/>
            </a:ext>
          </a:extLst>
        </xdr:cNvPr>
        <xdr:cNvSpPr txBox="1"/>
      </xdr:nvSpPr>
      <xdr:spPr>
        <a:xfrm>
          <a:off x="632459" y="3930015"/>
          <a:ext cx="9909810" cy="2245994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ysClr val="windowText" lastClr="000000"/>
              </a:solidFill>
            </a:rPr>
            <a:t>Dicas para o Desafio Final das Funções Texto</a:t>
          </a:r>
        </a:p>
        <a:p>
          <a:r>
            <a:rPr lang="pt-BR" sz="1100" b="0">
              <a:solidFill>
                <a:sysClr val="windowText" lastClr="000000"/>
              </a:solidFill>
            </a:rPr>
            <a:t>Formate como tabela</a:t>
          </a:r>
        </a:p>
        <a:p>
          <a:r>
            <a:rPr lang="pt-BR" sz="1100" b="0">
              <a:solidFill>
                <a:sysClr val="windowText" lastClr="000000"/>
              </a:solidFill>
            </a:rPr>
            <a:t>Nomeie a tabela</a:t>
          </a:r>
          <a:r>
            <a:rPr lang="pt-BR" sz="1100" b="0" baseline="0">
              <a:solidFill>
                <a:sysClr val="windowText" lastClr="000000"/>
              </a:solidFill>
            </a:rPr>
            <a:t> como email_colaboradores</a:t>
          </a:r>
          <a:endParaRPr lang="pt-BR" sz="1100" b="0">
            <a:solidFill>
              <a:sysClr val="windowText" lastClr="000000"/>
            </a:solidFill>
          </a:endParaRPr>
        </a:p>
        <a:p>
          <a:endParaRPr lang="pt-BR" sz="1100" b="1">
            <a:solidFill>
              <a:sysClr val="windowText" lastClr="000000"/>
            </a:solidFill>
          </a:endParaRPr>
        </a:p>
        <a:p>
          <a:r>
            <a:rPr lang="pt-BR" sz="1100" b="0">
              <a:solidFill>
                <a:sysClr val="windowText" lastClr="000000"/>
              </a:solidFill>
            </a:rPr>
            <a:t>Na coluna</a:t>
          </a:r>
          <a:r>
            <a:rPr lang="pt-BR" sz="1100" b="0" baseline="0">
              <a:solidFill>
                <a:sysClr val="windowText" lastClr="000000"/>
              </a:solidFill>
            </a:rPr>
            <a:t> </a:t>
          </a:r>
          <a:r>
            <a:rPr lang="pt-BR" sz="1100" b="1" baseline="0">
              <a:solidFill>
                <a:sysClr val="windowText" lastClr="000000"/>
              </a:solidFill>
            </a:rPr>
            <a:t>Arrumar</a:t>
          </a:r>
          <a:r>
            <a:rPr lang="pt-BR" sz="1100" b="0" baseline="0">
              <a:solidFill>
                <a:sysClr val="windowText" lastClr="000000"/>
              </a:solidFill>
            </a:rPr>
            <a:t> </a:t>
          </a:r>
          <a:r>
            <a:rPr lang="pt-BR" sz="1100" b="1" baseline="0">
              <a:solidFill>
                <a:sysClr val="windowText" lastClr="000000"/>
              </a:solidFill>
            </a:rPr>
            <a:t>Nome</a:t>
          </a:r>
          <a:r>
            <a:rPr lang="pt-BR" sz="1100" b="0" baseline="0">
              <a:solidFill>
                <a:sysClr val="windowText" lastClr="000000"/>
              </a:solidFill>
            </a:rPr>
            <a:t> e </a:t>
          </a:r>
          <a:r>
            <a:rPr lang="pt-BR" sz="1100" b="1" baseline="0">
              <a:solidFill>
                <a:sysClr val="windowText" lastClr="000000"/>
              </a:solidFill>
            </a:rPr>
            <a:t>Arrumar</a:t>
          </a:r>
          <a:r>
            <a:rPr lang="pt-BR" sz="1100" b="0" baseline="0">
              <a:solidFill>
                <a:sysClr val="windowText" lastClr="000000"/>
              </a:solidFill>
            </a:rPr>
            <a:t> </a:t>
          </a:r>
          <a:r>
            <a:rPr lang="pt-BR" sz="1100" b="1" baseline="0">
              <a:solidFill>
                <a:sysClr val="windowText" lastClr="000000"/>
              </a:solidFill>
            </a:rPr>
            <a:t>Sobrenome</a:t>
          </a:r>
          <a:r>
            <a:rPr lang="pt-BR" sz="1100" b="0" baseline="0">
              <a:solidFill>
                <a:sysClr val="windowText" lastClr="000000"/>
              </a:solidFill>
            </a:rPr>
            <a:t> corrija o excesso de espaços existentes nas colunas Nome e Sobrenome</a:t>
          </a:r>
        </a:p>
        <a:p>
          <a:endParaRPr lang="pt-BR" sz="1100" b="0">
            <a:solidFill>
              <a:sysClr val="windowText" lastClr="000000"/>
            </a:solidFill>
          </a:endParaRPr>
        </a:p>
        <a:p>
          <a:r>
            <a:rPr lang="pt-BR" sz="1100" b="1">
              <a:solidFill>
                <a:sysClr val="windowText" lastClr="000000"/>
              </a:solidFill>
            </a:rPr>
            <a:t>Utilizando as funções</a:t>
          </a:r>
          <a:r>
            <a:rPr lang="pt-BR" sz="1100" b="1" baseline="0">
              <a:solidFill>
                <a:sysClr val="windowText" lastClr="000000"/>
              </a:solidFill>
            </a:rPr>
            <a:t> Concat e minúscula na coluna Novo E-mail:</a:t>
          </a:r>
          <a:br>
            <a:rPr lang="pt-BR" sz="1100" b="1" baseline="0">
              <a:solidFill>
                <a:sysClr val="windowText" lastClr="000000"/>
              </a:solidFill>
            </a:rPr>
          </a:br>
          <a:r>
            <a:rPr lang="pt-BR" sz="1100" b="0" baseline="0">
              <a:solidFill>
                <a:sysClr val="windowText" lastClr="000000"/>
              </a:solidFill>
            </a:rPr>
            <a:t>Será necessário</a:t>
          </a:r>
          <a:r>
            <a:rPr lang="pt-BR" sz="1100">
              <a:solidFill>
                <a:sysClr val="windowText" lastClr="000000"/>
              </a:solidFill>
            </a:rPr>
            <a:t> criar um novo e-mail para os funcionários conforme</a:t>
          </a:r>
          <a:r>
            <a:rPr lang="pt-BR" sz="1100" baseline="0">
              <a:solidFill>
                <a:sysClr val="windowText" lastClr="000000"/>
              </a:solidFill>
            </a:rPr>
            <a:t> exemplo.</a:t>
          </a:r>
        </a:p>
        <a:p>
          <a:endParaRPr lang="pt-BR" sz="1100">
            <a:solidFill>
              <a:sysClr val="windowText" lastClr="000000"/>
            </a:solidFill>
          </a:endParaRPr>
        </a:p>
        <a:p>
          <a:r>
            <a:rPr lang="pt-BR" sz="1100">
              <a:solidFill>
                <a:sysClr val="windowText" lastClr="000000"/>
              </a:solidFill>
            </a:rPr>
            <a:t>E.mail exemplo: ana.nunes@contoso.net.br</a:t>
          </a:r>
        </a:p>
      </xdr:txBody>
    </xdr:sp>
    <xdr:clientData/>
  </xdr:twoCellAnchor>
  <xdr:twoCellAnchor editAs="oneCell">
    <xdr:from>
      <xdr:col>7</xdr:col>
      <xdr:colOff>933797</xdr:colOff>
      <xdr:row>20</xdr:row>
      <xdr:rowOff>152747</xdr:rowOff>
    </xdr:from>
    <xdr:to>
      <xdr:col>8</xdr:col>
      <xdr:colOff>1516207</xdr:colOff>
      <xdr:row>41</xdr:row>
      <xdr:rowOff>143395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AD3167-8A7B-4522-A64F-A58B2F701B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26" t="831"/>
        <a:stretch/>
      </xdr:blipFill>
      <xdr:spPr bwMode="auto">
        <a:xfrm>
          <a:off x="9630122" y="3962747"/>
          <a:ext cx="2144510" cy="3991148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</xdr:row>
      <xdr:rowOff>133350</xdr:rowOff>
    </xdr:from>
    <xdr:to>
      <xdr:col>2</xdr:col>
      <xdr:colOff>361950</xdr:colOff>
      <xdr:row>39</xdr:row>
      <xdr:rowOff>19050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3DAF6950-9ECD-4251-A907-05D7E695D6F1}"/>
            </a:ext>
          </a:extLst>
        </xdr:cNvPr>
        <xdr:cNvSpPr txBox="1"/>
      </xdr:nvSpPr>
      <xdr:spPr>
        <a:xfrm>
          <a:off x="0" y="6800850"/>
          <a:ext cx="232410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=CONCAT([@[Arrumar Nome]];".";[@[Arrumar Sobrenome]];"@;"[Extensão para novo e-mail]])</a:t>
          </a:r>
        </a:p>
      </xdr:txBody>
    </xdr:sp>
    <xdr:clientData/>
  </xdr:twoCellAnchor>
  <xdr:twoCellAnchor>
    <xdr:from>
      <xdr:col>2</xdr:col>
      <xdr:colOff>704851</xdr:colOff>
      <xdr:row>34</xdr:row>
      <xdr:rowOff>28575</xdr:rowOff>
    </xdr:from>
    <xdr:to>
      <xdr:col>4</xdr:col>
      <xdr:colOff>1381125</xdr:colOff>
      <xdr:row>40</xdr:row>
      <xdr:rowOff>47625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21C11E6-5B1B-4FE2-A842-F8A09FAF8432}"/>
            </a:ext>
          </a:extLst>
        </xdr:cNvPr>
        <xdr:cNvSpPr txBox="1"/>
      </xdr:nvSpPr>
      <xdr:spPr>
        <a:xfrm>
          <a:off x="2667001" y="6696075"/>
          <a:ext cx="2819399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=MINÚSCULA(CONCAT([@[Arrumar Nome]];".";[@[Arrumar Sobrenome]];"@;</a:t>
          </a:r>
        </a:p>
      </xdr:txBody>
    </xdr:sp>
    <xdr:clientData/>
  </xdr:twoCellAnchor>
  <xdr:oneCellAnchor>
    <xdr:from>
      <xdr:col>5</xdr:col>
      <xdr:colOff>323850</xdr:colOff>
      <xdr:row>34</xdr:row>
      <xdr:rowOff>19050</xdr:rowOff>
    </xdr:from>
    <xdr:ext cx="3429000" cy="1047749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D326966-680A-449F-839E-897F8B3C90ED}"/>
            </a:ext>
          </a:extLst>
        </xdr:cNvPr>
        <xdr:cNvSpPr txBox="1"/>
      </xdr:nvSpPr>
      <xdr:spPr>
        <a:xfrm>
          <a:off x="5962650" y="6686550"/>
          <a:ext cx="3429000" cy="10477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=MINÚSCULA(CONCAT([@[Arrumar Nome]];".";[@[Arrumar Sobrenome]];"@";[@[Extensão para novo e-mail]];))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9ADC5-8768-48BB-BA42-3FCC3B7CF040}" name="Tabela16" displayName="Tabela16" ref="B2:G16" totalsRowShown="0" headerRowDxfId="17" dataDxfId="16">
  <autoFilter ref="B2:G16" xr:uid="{8249ADC5-8768-48BB-BA42-3FCC3B7CF040}"/>
  <tableColumns count="6">
    <tableColumn id="1" xr3:uid="{AD56619A-B1E1-4698-9F7F-857315B017F5}" name="Nome Completo" dataDxfId="15"/>
    <tableColumn id="2" xr3:uid="{F59D3063-A767-48A8-98BD-E9918E44D35D}" name="Arrumar" dataDxfId="14">
      <calculatedColumnFormula>TRIM(Tabela16[[#This Row],[Nome Completo]])</calculatedColumnFormula>
    </tableColumn>
    <tableColumn id="3" xr3:uid="{6CEC5165-24BD-4C35-B21A-E3E1D2BC4CD7}" name="Pri.Maiúscula" dataDxfId="13">
      <calculatedColumnFormula>PROPER(Tabela16[[#This Row],[Arrumar]])</calculatedColumnFormula>
    </tableColumn>
    <tableColumn id="4" xr3:uid="{CE847B3B-170C-49FF-9E03-63651DFBBB7B}" name="Maiúscula" dataDxfId="12">
      <calculatedColumnFormula>UPPER(Tabela16[[#This Row],[Pri.Maiúscula]])</calculatedColumnFormula>
    </tableColumn>
    <tableColumn id="5" xr3:uid="{5B2A4E03-B277-4CBB-ACB2-F5DCCA381F78}" name="Minúscula" dataDxfId="11">
      <calculatedColumnFormula>LOWER(Tabela16[[#This Row],[Maiúscula]])</calculatedColumnFormula>
    </tableColumn>
    <tableColumn id="6" xr3:uid="{DEE2AC4C-B9C0-4A43-8CBE-D04DDF4B7280}" name="Pri.Maiúscula + Arrumar" dataDxfId="10">
      <calculatedColumnFormula>PROPER(TRIM(Tabela16[[#This Row],[Nome Completo]]))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FF1F6B-FD62-440D-9FC4-CB97866BDBCE}" name="email_colaboradores" displayName="email_colaboradores" ref="B3:I20" totalsRowShown="0" headerRowDxfId="9" dataDxfId="8">
  <autoFilter ref="B3:I20" xr:uid="{E8A54356-C846-4667-923B-74039E373A0B}"/>
  <tableColumns count="8">
    <tableColumn id="1" xr3:uid="{1396DDE9-DA56-4517-8C57-61A39D704BDD}" name="Nome" dataDxfId="7"/>
    <tableColumn id="2" xr3:uid="{EB72C448-7F64-4791-808B-6750E2C4620A}" name="Sobrenome" dataDxfId="6"/>
    <tableColumn id="3" xr3:uid="{87066BBB-C040-47FC-95BF-34D9AEDC6B55}" name="Arrumar Nome" dataDxfId="5">
      <calculatedColumnFormula>TRIM(email_colaboradores[[#This Row],[Nome]])</calculatedColumnFormula>
    </tableColumn>
    <tableColumn id="4" xr3:uid="{F993C8F8-1517-441F-BB62-82E719B81934}" name="Arrumar Sobrenome" dataDxfId="4">
      <calculatedColumnFormula>TRIM(C4)</calculatedColumnFormula>
    </tableColumn>
    <tableColumn id="5" xr3:uid="{45AB3172-688D-4DFD-B54C-F8DE26CE344A}" name="Idade" dataDxfId="3"/>
    <tableColumn id="6" xr3:uid="{BCD3D2AF-14C0-47A8-9920-260C1C0D9922}" name="Departamento" dataDxfId="2"/>
    <tableColumn id="7" xr3:uid="{27032E46-E660-44E1-AF56-98378A9BB71B}" name="Extensão para novo e-mail" dataDxfId="1"/>
    <tableColumn id="8" xr3:uid="{29D4CB66-F8BE-42FB-B169-9C47E2F1A80B}" name="Novo E-mail" dataDxfId="0">
      <calculatedColumnFormula>LOWER(_xlfn.CONCAT(email_colaboradores[[#This Row],[Arrumar Nome]],".",email_colaboradores[[#This Row],[Arrumar Sobrenome]],"@",email_colaboradores[[#This Row],[Extensão para novo e-mail]],))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4D4F-8B9B-4518-B13D-15F7B38129AA}">
  <dimension ref="B2:G16"/>
  <sheetViews>
    <sheetView workbookViewId="0">
      <selection activeCell="B4" sqref="B4"/>
    </sheetView>
  </sheetViews>
  <sheetFormatPr defaultRowHeight="15" x14ac:dyDescent="0.25"/>
  <cols>
    <col min="2" max="2" width="29.42578125" bestFit="1" customWidth="1"/>
    <col min="3" max="3" width="12.42578125" bestFit="1" customWidth="1"/>
    <col min="4" max="4" width="17.28515625" bestFit="1" customWidth="1"/>
    <col min="5" max="5" width="14.140625" bestFit="1" customWidth="1"/>
    <col min="6" max="6" width="14.28515625" bestFit="1" customWidth="1"/>
    <col min="7" max="7" width="26.2851562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s="1" t="s">
        <v>6</v>
      </c>
      <c r="C3" s="1" t="str">
        <f>TRIM(Tabela16[[#This Row],[Nome Completo]])</f>
        <v>eduardo yto</v>
      </c>
      <c r="D3" s="1" t="str">
        <f>PROPER(Tabela16[[#This Row],[Arrumar]])</f>
        <v>Eduardo Yto</v>
      </c>
      <c r="E3" s="1" t="str">
        <f>UPPER(Tabela16[[#This Row],[Pri.Maiúscula]])</f>
        <v>EDUARDO YTO</v>
      </c>
      <c r="F3" s="1" t="str">
        <f>LOWER(Tabela16[[#This Row],[Maiúscula]])</f>
        <v>eduardo yto</v>
      </c>
      <c r="G3" s="1" t="str">
        <f>PROPER(TRIM(Tabela16[[#This Row],[Nome Completo]]))</f>
        <v>Eduardo Yto</v>
      </c>
    </row>
    <row r="4" spans="2:7" x14ac:dyDescent="0.25">
      <c r="B4" s="1" t="s">
        <v>7</v>
      </c>
      <c r="C4" s="1" t="str">
        <f>TRIM(Tabela16[[#This Row],[Nome Completo]])</f>
        <v>tallia maria</v>
      </c>
      <c r="D4" s="1" t="str">
        <f>PROPER(Tabela16[[#This Row],[Arrumar]])</f>
        <v>Tallia Maria</v>
      </c>
      <c r="E4" s="1" t="str">
        <f>UPPER(Tabela16[[#This Row],[Pri.Maiúscula]])</f>
        <v>TALLIA MARIA</v>
      </c>
      <c r="F4" s="1" t="str">
        <f>LOWER(Tabela16[[#This Row],[Maiúscula]])</f>
        <v>tallia maria</v>
      </c>
      <c r="G4" s="1" t="str">
        <f>PROPER(TRIM(Tabela16[[#This Row],[Nome Completo]]))</f>
        <v>Tallia Maria</v>
      </c>
    </row>
    <row r="5" spans="2:7" x14ac:dyDescent="0.25">
      <c r="B5" s="1" t="s">
        <v>8</v>
      </c>
      <c r="C5" s="1" t="str">
        <f>TRIM(Tabela16[[#This Row],[Nome Completo]])</f>
        <v>victor souza</v>
      </c>
      <c r="D5" s="1" t="str">
        <f>PROPER(Tabela16[[#This Row],[Arrumar]])</f>
        <v>Victor Souza</v>
      </c>
      <c r="E5" s="1" t="str">
        <f>UPPER(Tabela16[[#This Row],[Pri.Maiúscula]])</f>
        <v>VICTOR SOUZA</v>
      </c>
      <c r="F5" s="1" t="str">
        <f>LOWER(Tabela16[[#This Row],[Maiúscula]])</f>
        <v>victor souza</v>
      </c>
      <c r="G5" s="1" t="str">
        <f>PROPER(TRIM(Tabela16[[#This Row],[Nome Completo]]))</f>
        <v>Victor Souza</v>
      </c>
    </row>
    <row r="6" spans="2:7" x14ac:dyDescent="0.25">
      <c r="B6" s="1" t="s">
        <v>9</v>
      </c>
      <c r="C6" s="1" t="str">
        <f>TRIM(Tabela16[[#This Row],[Nome Completo]])</f>
        <v>guilherme moura</v>
      </c>
      <c r="D6" s="1" t="str">
        <f>PROPER(Tabela16[[#This Row],[Arrumar]])</f>
        <v>Guilherme Moura</v>
      </c>
      <c r="E6" s="1" t="str">
        <f>UPPER(Tabela16[[#This Row],[Pri.Maiúscula]])</f>
        <v>GUILHERME MOURA</v>
      </c>
      <c r="F6" s="1" t="str">
        <f>LOWER(Tabela16[[#This Row],[Maiúscula]])</f>
        <v>guilherme moura</v>
      </c>
      <c r="G6" s="1" t="str">
        <f>PROPER(TRIM(Tabela16[[#This Row],[Nome Completo]]))</f>
        <v>Guilherme Moura</v>
      </c>
    </row>
    <row r="7" spans="2:7" x14ac:dyDescent="0.25">
      <c r="B7" s="1" t="s">
        <v>10</v>
      </c>
      <c r="C7" s="1" t="str">
        <f>TRIM(Tabela16[[#This Row],[Nome Completo]])</f>
        <v>marcos miranda</v>
      </c>
      <c r="D7" s="1" t="str">
        <f>PROPER(Tabela16[[#This Row],[Arrumar]])</f>
        <v>Marcos Miranda</v>
      </c>
      <c r="E7" s="1" t="str">
        <f>UPPER(Tabela16[[#This Row],[Pri.Maiúscula]])</f>
        <v>MARCOS MIRANDA</v>
      </c>
      <c r="F7" s="1" t="str">
        <f>LOWER(Tabela16[[#This Row],[Maiúscula]])</f>
        <v>marcos miranda</v>
      </c>
      <c r="G7" s="1" t="str">
        <f>PROPER(TRIM(Tabela16[[#This Row],[Nome Completo]]))</f>
        <v>Marcos Miranda</v>
      </c>
    </row>
    <row r="8" spans="2:7" x14ac:dyDescent="0.25">
      <c r="B8" s="1" t="s">
        <v>11</v>
      </c>
      <c r="C8" s="1" t="str">
        <f>TRIM(Tabela16[[#This Row],[Nome Completo]])</f>
        <v>mariana martins</v>
      </c>
      <c r="D8" s="1" t="str">
        <f>PROPER(Tabela16[[#This Row],[Arrumar]])</f>
        <v>Mariana Martins</v>
      </c>
      <c r="E8" s="1" t="str">
        <f>UPPER(Tabela16[[#This Row],[Pri.Maiúscula]])</f>
        <v>MARIANA MARTINS</v>
      </c>
      <c r="F8" s="1" t="str">
        <f>LOWER(Tabela16[[#This Row],[Maiúscula]])</f>
        <v>mariana martins</v>
      </c>
      <c r="G8" s="1" t="str">
        <f>PROPER(TRIM(Tabela16[[#This Row],[Nome Completo]]))</f>
        <v>Mariana Martins</v>
      </c>
    </row>
    <row r="9" spans="2:7" x14ac:dyDescent="0.25">
      <c r="B9" s="1" t="s">
        <v>12</v>
      </c>
      <c r="C9" s="1" t="str">
        <f>TRIM(Tabela16[[#This Row],[Nome Completo]])</f>
        <v>judith matos</v>
      </c>
      <c r="D9" s="1" t="str">
        <f>PROPER(Tabela16[[#This Row],[Arrumar]])</f>
        <v>Judith Matos</v>
      </c>
      <c r="E9" s="1" t="str">
        <f>UPPER(Tabela16[[#This Row],[Pri.Maiúscula]])</f>
        <v>JUDITH MATOS</v>
      </c>
      <c r="F9" s="1" t="str">
        <f>LOWER(Tabela16[[#This Row],[Maiúscula]])</f>
        <v>judith matos</v>
      </c>
      <c r="G9" s="1" t="str">
        <f>PROPER(TRIM(Tabela16[[#This Row],[Nome Completo]]))</f>
        <v>Judith Matos</v>
      </c>
    </row>
    <row r="10" spans="2:7" x14ac:dyDescent="0.25">
      <c r="B10" s="1" t="s">
        <v>13</v>
      </c>
      <c r="C10" s="1" t="str">
        <f>TRIM(Tabela16[[#This Row],[Nome Completo]])</f>
        <v>edicréia xavier</v>
      </c>
      <c r="D10" s="1" t="str">
        <f>PROPER(Tabela16[[#This Row],[Arrumar]])</f>
        <v>Edicréia Xavier</v>
      </c>
      <c r="E10" s="1" t="str">
        <f>UPPER(Tabela16[[#This Row],[Pri.Maiúscula]])</f>
        <v>EDICRÉIA XAVIER</v>
      </c>
      <c r="F10" s="1" t="str">
        <f>LOWER(Tabela16[[#This Row],[Maiúscula]])</f>
        <v>edicréia xavier</v>
      </c>
      <c r="G10" s="1" t="str">
        <f>PROPER(TRIM(Tabela16[[#This Row],[Nome Completo]]))</f>
        <v>Edicréia Xavier</v>
      </c>
    </row>
    <row r="11" spans="2:7" x14ac:dyDescent="0.25">
      <c r="B11" s="1" t="s">
        <v>14</v>
      </c>
      <c r="C11" s="1" t="str">
        <f>TRIM(Tabela16[[#This Row],[Nome Completo]])</f>
        <v>luzinete zonta</v>
      </c>
      <c r="D11" s="1" t="str">
        <f>PROPER(Tabela16[[#This Row],[Arrumar]])</f>
        <v>Luzinete Zonta</v>
      </c>
      <c r="E11" s="1" t="str">
        <f>UPPER(Tabela16[[#This Row],[Pri.Maiúscula]])</f>
        <v>LUZINETE ZONTA</v>
      </c>
      <c r="F11" s="1" t="str">
        <f>LOWER(Tabela16[[#This Row],[Maiúscula]])</f>
        <v>luzinete zonta</v>
      </c>
      <c r="G11" s="1" t="str">
        <f>PROPER(TRIM(Tabela16[[#This Row],[Nome Completo]]))</f>
        <v>Luzinete Zonta</v>
      </c>
    </row>
    <row r="12" spans="2:7" x14ac:dyDescent="0.25">
      <c r="B12" s="1" t="s">
        <v>15</v>
      </c>
      <c r="C12" s="1" t="str">
        <f>TRIM(Tabela16[[#This Row],[Nome Completo]])</f>
        <v>quincas gaspar</v>
      </c>
      <c r="D12" s="1" t="str">
        <f>PROPER(Tabela16[[#This Row],[Arrumar]])</f>
        <v>Quincas Gaspar</v>
      </c>
      <c r="E12" s="1" t="str">
        <f>UPPER(Tabela16[[#This Row],[Pri.Maiúscula]])</f>
        <v>QUINCAS GASPAR</v>
      </c>
      <c r="F12" s="1" t="str">
        <f>LOWER(Tabela16[[#This Row],[Maiúscula]])</f>
        <v>quincas gaspar</v>
      </c>
      <c r="G12" s="1" t="str">
        <f>PROPER(TRIM(Tabela16[[#This Row],[Nome Completo]]))</f>
        <v>Quincas Gaspar</v>
      </c>
    </row>
    <row r="13" spans="2:7" x14ac:dyDescent="0.25">
      <c r="B13" s="1" t="s">
        <v>16</v>
      </c>
      <c r="C13" s="1" t="str">
        <f>TRIM(Tabela16[[#This Row],[Nome Completo]])</f>
        <v>josé hugo</v>
      </c>
      <c r="D13" s="1" t="str">
        <f>PROPER(Tabela16[[#This Row],[Arrumar]])</f>
        <v>José Hugo</v>
      </c>
      <c r="E13" s="1" t="str">
        <f>UPPER(Tabela16[[#This Row],[Pri.Maiúscula]])</f>
        <v>JOSÉ HUGO</v>
      </c>
      <c r="F13" s="1" t="str">
        <f>LOWER(Tabela16[[#This Row],[Maiúscula]])</f>
        <v>josé hugo</v>
      </c>
      <c r="G13" s="1" t="str">
        <f>PROPER(TRIM(Tabela16[[#This Row],[Nome Completo]]))</f>
        <v>José Hugo</v>
      </c>
    </row>
    <row r="14" spans="2:7" x14ac:dyDescent="0.25">
      <c r="B14" s="1" t="s">
        <v>17</v>
      </c>
      <c r="C14" s="1" t="str">
        <f>TRIM(Tabela16[[#This Row],[Nome Completo]])</f>
        <v>keiti santana</v>
      </c>
      <c r="D14" s="1" t="str">
        <f>PROPER(Tabela16[[#This Row],[Arrumar]])</f>
        <v>Keiti Santana</v>
      </c>
      <c r="E14" s="1" t="str">
        <f>UPPER(Tabela16[[#This Row],[Pri.Maiúscula]])</f>
        <v>KEITI SANTANA</v>
      </c>
      <c r="F14" s="1" t="str">
        <f>LOWER(Tabela16[[#This Row],[Maiúscula]])</f>
        <v>keiti santana</v>
      </c>
      <c r="G14" s="1" t="str">
        <f>PROPER(TRIM(Tabela16[[#This Row],[Nome Completo]]))</f>
        <v>Keiti Santana</v>
      </c>
    </row>
    <row r="15" spans="2:7" x14ac:dyDescent="0.25">
      <c r="B15" s="1" t="s">
        <v>18</v>
      </c>
      <c r="C15" s="1" t="str">
        <f>TRIM(Tabela16[[#This Row],[Nome Completo]])</f>
        <v>carla mota</v>
      </c>
      <c r="D15" s="1" t="str">
        <f>PROPER(Tabela16[[#This Row],[Arrumar]])</f>
        <v>Carla Mota</v>
      </c>
      <c r="E15" s="1" t="str">
        <f>UPPER(Tabela16[[#This Row],[Pri.Maiúscula]])</f>
        <v>CARLA MOTA</v>
      </c>
      <c r="F15" s="1" t="str">
        <f>LOWER(Tabela16[[#This Row],[Maiúscula]])</f>
        <v>carla mota</v>
      </c>
      <c r="G15" s="1" t="str">
        <f>PROPER(TRIM(Tabela16[[#This Row],[Nome Completo]]))</f>
        <v>Carla Mota</v>
      </c>
    </row>
    <row r="16" spans="2:7" x14ac:dyDescent="0.25">
      <c r="B16" s="1" t="s">
        <v>19</v>
      </c>
      <c r="C16" s="1" t="str">
        <f>TRIM(Tabela16[[#This Row],[Nome Completo]])</f>
        <v>amélia silva</v>
      </c>
      <c r="D16" s="1" t="str">
        <f>PROPER(Tabela16[[#This Row],[Arrumar]])</f>
        <v>Amélia Silva</v>
      </c>
      <c r="E16" s="1" t="str">
        <f>UPPER(Tabela16[[#This Row],[Pri.Maiúscula]])</f>
        <v>AMÉLIA SILVA</v>
      </c>
      <c r="F16" s="1" t="str">
        <f>LOWER(Tabela16[[#This Row],[Maiúscula]])</f>
        <v>amélia silva</v>
      </c>
      <c r="G16" s="1" t="str">
        <f>PROPER(TRIM(Tabela16[[#This Row],[Nome Completo]]))</f>
        <v>Amélia Silva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5F58-3B74-4C32-A929-C85D59CB2FA0}">
  <dimension ref="B2:H16"/>
  <sheetViews>
    <sheetView workbookViewId="0">
      <selection activeCell="B2" sqref="B2:E2"/>
    </sheetView>
  </sheetViews>
  <sheetFormatPr defaultRowHeight="15" x14ac:dyDescent="0.25"/>
  <cols>
    <col min="1" max="1" width="3.7109375" customWidth="1"/>
    <col min="2" max="2" width="4.85546875" bestFit="1" customWidth="1"/>
    <col min="3" max="3" width="15" bestFit="1" customWidth="1"/>
    <col min="4" max="4" width="13.5703125" bestFit="1" customWidth="1"/>
    <col min="5" max="5" width="26.140625" customWidth="1"/>
  </cols>
  <sheetData>
    <row r="2" spans="2:8" x14ac:dyDescent="0.25">
      <c r="B2" s="41" t="str">
        <f>TRIM("Pagamento             dos          Funcionários        do       Prédio    Al. Rio Negro")</f>
        <v>Pagamento dos Funcionários do Prédio Al. Rio Negro</v>
      </c>
      <c r="C2" s="41"/>
      <c r="D2" s="41"/>
      <c r="E2" s="41"/>
    </row>
    <row r="3" spans="2:8" ht="16.5" thickBot="1" x14ac:dyDescent="0.3">
      <c r="B3" s="42" t="s">
        <v>20</v>
      </c>
      <c r="C3" s="43"/>
      <c r="D3" s="44"/>
      <c r="E3" s="2" t="s">
        <v>21</v>
      </c>
      <c r="H3" t="s">
        <v>45</v>
      </c>
    </row>
    <row r="4" spans="2:8" ht="16.5" thickTop="1" thickBot="1" x14ac:dyDescent="0.3">
      <c r="B4" s="3" t="s">
        <v>22</v>
      </c>
      <c r="C4" s="3" t="s">
        <v>23</v>
      </c>
      <c r="D4" s="3" t="s">
        <v>24</v>
      </c>
      <c r="E4" s="3" t="s">
        <v>25</v>
      </c>
    </row>
    <row r="5" spans="2:8" ht="15.75" thickTop="1" x14ac:dyDescent="0.25">
      <c r="B5" s="4">
        <v>1</v>
      </c>
      <c r="C5" s="4" t="s">
        <v>26</v>
      </c>
      <c r="D5" s="4" t="s">
        <v>27</v>
      </c>
      <c r="E5" s="5">
        <v>1022</v>
      </c>
    </row>
    <row r="6" spans="2:8" x14ac:dyDescent="0.25">
      <c r="B6" s="6">
        <v>2</v>
      </c>
      <c r="C6" s="6" t="s">
        <v>28</v>
      </c>
      <c r="D6" s="6" t="s">
        <v>29</v>
      </c>
      <c r="E6" s="7">
        <v>1200</v>
      </c>
    </row>
    <row r="7" spans="2:8" x14ac:dyDescent="0.25">
      <c r="B7" s="8">
        <v>3</v>
      </c>
      <c r="C7" s="8" t="s">
        <v>30</v>
      </c>
      <c r="D7" s="8" t="s">
        <v>31</v>
      </c>
      <c r="E7" s="9">
        <v>1545</v>
      </c>
    </row>
    <row r="8" spans="2:8" x14ac:dyDescent="0.25">
      <c r="B8" s="6">
        <v>4</v>
      </c>
      <c r="C8" s="6" t="s">
        <v>32</v>
      </c>
      <c r="D8" s="6" t="s">
        <v>33</v>
      </c>
      <c r="E8" s="7">
        <v>1848</v>
      </c>
    </row>
    <row r="9" spans="2:8" x14ac:dyDescent="0.25">
      <c r="B9" s="8">
        <v>5</v>
      </c>
      <c r="C9" s="8" t="s">
        <v>34</v>
      </c>
      <c r="D9" s="8" t="s">
        <v>35</v>
      </c>
      <c r="E9" s="9">
        <v>6500</v>
      </c>
    </row>
    <row r="10" spans="2:8" x14ac:dyDescent="0.25">
      <c r="B10" s="6">
        <v>6</v>
      </c>
      <c r="C10" s="6" t="s">
        <v>36</v>
      </c>
      <c r="D10" s="6" t="s">
        <v>37</v>
      </c>
      <c r="E10" s="7">
        <v>1200</v>
      </c>
    </row>
    <row r="11" spans="2:8" x14ac:dyDescent="0.25">
      <c r="B11" s="8">
        <v>7</v>
      </c>
      <c r="C11" s="8" t="s">
        <v>38</v>
      </c>
      <c r="D11" s="8" t="s">
        <v>37</v>
      </c>
      <c r="E11" s="9">
        <v>1200</v>
      </c>
    </row>
    <row r="12" spans="2:8" x14ac:dyDescent="0.25">
      <c r="B12" s="6">
        <v>8</v>
      </c>
      <c r="C12" s="6" t="s">
        <v>39</v>
      </c>
      <c r="D12" s="6" t="s">
        <v>37</v>
      </c>
      <c r="E12" s="7">
        <v>1200</v>
      </c>
    </row>
    <row r="13" spans="2:8" x14ac:dyDescent="0.25">
      <c r="B13" s="8">
        <v>9</v>
      </c>
      <c r="C13" s="8" t="s">
        <v>40</v>
      </c>
      <c r="D13" s="8" t="s">
        <v>41</v>
      </c>
      <c r="E13" s="9">
        <v>1211</v>
      </c>
    </row>
    <row r="14" spans="2:8" x14ac:dyDescent="0.25">
      <c r="B14" s="6">
        <v>10</v>
      </c>
      <c r="C14" s="6" t="s">
        <v>42</v>
      </c>
      <c r="D14" s="6" t="s">
        <v>41</v>
      </c>
      <c r="E14" s="7">
        <v>1211</v>
      </c>
    </row>
    <row r="15" spans="2:8" x14ac:dyDescent="0.25">
      <c r="B15" s="8">
        <v>11</v>
      </c>
      <c r="C15" s="8" t="s">
        <v>43</v>
      </c>
      <c r="D15" s="8" t="s">
        <v>31</v>
      </c>
      <c r="E15" s="9">
        <v>1545</v>
      </c>
    </row>
    <row r="16" spans="2:8" x14ac:dyDescent="0.25">
      <c r="B16" s="6">
        <v>12</v>
      </c>
      <c r="C16" s="6" t="s">
        <v>44</v>
      </c>
      <c r="D16" s="6" t="s">
        <v>27</v>
      </c>
      <c r="E16" s="7">
        <v>1022</v>
      </c>
    </row>
  </sheetData>
  <mergeCells count="2">
    <mergeCell ref="B2:E2"/>
    <mergeCell ref="B3:D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CB1C-03EF-4925-8173-C3C13D326AE3}">
  <dimension ref="A1:T29"/>
  <sheetViews>
    <sheetView zoomScaleNormal="100" workbookViewId="0">
      <selection activeCell="E12" sqref="E12:I13"/>
    </sheetView>
  </sheetViews>
  <sheetFormatPr defaultRowHeight="15" x14ac:dyDescent="0.25"/>
  <cols>
    <col min="2" max="2" width="8.28515625" bestFit="1" customWidth="1"/>
    <col min="3" max="3" width="14.28515625" bestFit="1" customWidth="1"/>
    <col min="4" max="4" width="11" bestFit="1" customWidth="1"/>
    <col min="5" max="5" width="3" bestFit="1" customWidth="1"/>
    <col min="6" max="6" width="2" bestFit="1" customWidth="1"/>
    <col min="7" max="7" width="5" bestFit="1" customWidth="1"/>
    <col min="8" max="8" width="17.42578125" bestFit="1" customWidth="1"/>
    <col min="9" max="9" width="3.28515625" bestFit="1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x14ac:dyDescent="0.25">
      <c r="A2" s="1"/>
      <c r="B2" s="46" t="s">
        <v>46</v>
      </c>
      <c r="C2" s="46"/>
      <c r="D2" s="46"/>
      <c r="E2" s="46"/>
      <c r="F2" s="46"/>
      <c r="G2" s="46"/>
      <c r="H2" s="46"/>
      <c r="I2" s="46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0" t="s">
        <v>47</v>
      </c>
      <c r="C3" s="10" t="s">
        <v>48</v>
      </c>
      <c r="D3" s="10" t="s">
        <v>49</v>
      </c>
      <c r="E3" s="47" t="s">
        <v>50</v>
      </c>
      <c r="F3" s="47"/>
      <c r="G3" s="47"/>
      <c r="H3" s="10" t="s">
        <v>51</v>
      </c>
      <c r="I3" s="10" t="s">
        <v>52</v>
      </c>
      <c r="J3" s="1"/>
      <c r="K3" s="48" t="s">
        <v>53</v>
      </c>
      <c r="L3" s="49"/>
      <c r="M3" s="49"/>
      <c r="N3" s="49"/>
      <c r="O3" s="49"/>
      <c r="P3" s="1"/>
      <c r="Q3" s="1"/>
      <c r="R3" s="1"/>
      <c r="S3" s="1"/>
      <c r="T3" s="1"/>
    </row>
    <row r="4" spans="1:20" ht="15.75" x14ac:dyDescent="0.25">
      <c r="A4" s="1"/>
      <c r="B4" s="11" t="s">
        <v>54</v>
      </c>
      <c r="C4" s="11" t="s">
        <v>55</v>
      </c>
      <c r="D4" s="11" t="s">
        <v>56</v>
      </c>
      <c r="E4" s="11">
        <v>30</v>
      </c>
      <c r="F4" s="11">
        <v>9</v>
      </c>
      <c r="G4" s="11">
        <v>1985</v>
      </c>
      <c r="H4" s="11" t="s">
        <v>57</v>
      </c>
      <c r="I4" s="11" t="s">
        <v>58</v>
      </c>
      <c r="J4" s="1"/>
      <c r="K4" s="45" t="str">
        <f t="shared" ref="K4:K9" si="0">_xlfn.CONCAT(B4," ",C4," ",D4,)</f>
        <v>Eduardo Yoshio Yto</v>
      </c>
      <c r="L4" s="45"/>
      <c r="M4" s="45"/>
      <c r="N4" s="45"/>
      <c r="O4" s="45"/>
      <c r="P4" s="1"/>
      <c r="Q4" s="1"/>
      <c r="R4" s="1"/>
      <c r="S4" s="1"/>
      <c r="T4" s="1"/>
    </row>
    <row r="5" spans="1:20" ht="15.75" x14ac:dyDescent="0.25">
      <c r="A5" s="1"/>
      <c r="B5" s="12" t="s">
        <v>59</v>
      </c>
      <c r="C5" s="12" t="s">
        <v>60</v>
      </c>
      <c r="D5" s="12" t="s">
        <v>61</v>
      </c>
      <c r="E5" s="12">
        <v>22</v>
      </c>
      <c r="F5" s="12">
        <v>4</v>
      </c>
      <c r="G5" s="12">
        <v>1964</v>
      </c>
      <c r="H5" s="12" t="s">
        <v>62</v>
      </c>
      <c r="I5" s="12" t="s">
        <v>63</v>
      </c>
      <c r="J5" s="1" t="s">
        <v>171</v>
      </c>
      <c r="K5" s="45" t="str">
        <f t="shared" si="0"/>
        <v>Luzinete Bezerra Lima</v>
      </c>
      <c r="L5" s="45"/>
      <c r="M5" s="45"/>
      <c r="N5" s="45"/>
      <c r="O5" s="45"/>
      <c r="P5" s="1"/>
      <c r="Q5" s="1"/>
      <c r="R5" s="1"/>
      <c r="S5" s="1"/>
      <c r="T5" s="1"/>
    </row>
    <row r="6" spans="1:20" ht="15.75" x14ac:dyDescent="0.25">
      <c r="A6" s="1"/>
      <c r="B6" s="11" t="s">
        <v>64</v>
      </c>
      <c r="C6" s="11" t="s">
        <v>65</v>
      </c>
      <c r="D6" s="11" t="s">
        <v>66</v>
      </c>
      <c r="E6" s="11">
        <v>11</v>
      </c>
      <c r="F6" s="11">
        <v>4</v>
      </c>
      <c r="G6" s="11">
        <v>1960</v>
      </c>
      <c r="H6" s="11" t="s">
        <v>67</v>
      </c>
      <c r="I6" s="11" t="s">
        <v>63</v>
      </c>
      <c r="J6" s="1"/>
      <c r="K6" s="45" t="str">
        <f t="shared" si="0"/>
        <v>Camila Patrícia Dias</v>
      </c>
      <c r="L6" s="45"/>
      <c r="M6" s="45"/>
      <c r="N6" s="45"/>
      <c r="O6" s="45"/>
      <c r="P6" s="1"/>
      <c r="Q6" s="1"/>
      <c r="R6" s="1"/>
      <c r="S6" s="1"/>
      <c r="T6" s="1"/>
    </row>
    <row r="7" spans="1:20" ht="15.75" x14ac:dyDescent="0.25">
      <c r="A7" s="1"/>
      <c r="B7" s="12" t="s">
        <v>68</v>
      </c>
      <c r="C7" s="12" t="s">
        <v>69</v>
      </c>
      <c r="D7" s="12" t="s">
        <v>70</v>
      </c>
      <c r="E7" s="12">
        <v>14</v>
      </c>
      <c r="F7" s="12">
        <v>5</v>
      </c>
      <c r="G7" s="12">
        <v>1988</v>
      </c>
      <c r="H7" s="12" t="s">
        <v>71</v>
      </c>
      <c r="I7" s="12" t="s">
        <v>63</v>
      </c>
      <c r="J7" s="1"/>
      <c r="K7" s="45" t="str">
        <f t="shared" si="0"/>
        <v>Cláudio Ricardo Nunes</v>
      </c>
      <c r="L7" s="45"/>
      <c r="M7" s="45"/>
      <c r="N7" s="45"/>
      <c r="O7" s="45"/>
      <c r="P7" s="1"/>
      <c r="Q7" s="1"/>
      <c r="R7" s="1"/>
      <c r="S7" s="1"/>
      <c r="T7" s="1"/>
    </row>
    <row r="8" spans="1:20" ht="15.75" x14ac:dyDescent="0.25">
      <c r="A8" s="1"/>
      <c r="B8" s="11" t="s">
        <v>72</v>
      </c>
      <c r="C8" s="11" t="s">
        <v>73</v>
      </c>
      <c r="D8" s="11" t="s">
        <v>74</v>
      </c>
      <c r="E8" s="11">
        <v>4</v>
      </c>
      <c r="F8" s="11">
        <v>5</v>
      </c>
      <c r="G8" s="11">
        <v>2010</v>
      </c>
      <c r="H8" s="11" t="s">
        <v>75</v>
      </c>
      <c r="I8" s="11" t="s">
        <v>76</v>
      </c>
      <c r="J8" s="1"/>
      <c r="K8" s="45" t="str">
        <f t="shared" si="0"/>
        <v>Maria Amélia Sousa</v>
      </c>
      <c r="L8" s="45"/>
      <c r="M8" s="45"/>
      <c r="N8" s="45"/>
      <c r="O8" s="45"/>
      <c r="P8" s="1"/>
      <c r="Q8" s="1"/>
      <c r="R8" s="1"/>
      <c r="S8" s="1"/>
      <c r="T8" s="1"/>
    </row>
    <row r="9" spans="1:20" ht="15.75" x14ac:dyDescent="0.25">
      <c r="A9" s="1"/>
      <c r="B9" s="12" t="s">
        <v>77</v>
      </c>
      <c r="C9" s="12" t="s">
        <v>78</v>
      </c>
      <c r="D9" s="12" t="s">
        <v>79</v>
      </c>
      <c r="E9" s="12">
        <v>28</v>
      </c>
      <c r="F9" s="12">
        <v>7</v>
      </c>
      <c r="G9" s="12">
        <v>1987</v>
      </c>
      <c r="H9" s="12" t="s">
        <v>80</v>
      </c>
      <c r="I9" s="12" t="s">
        <v>63</v>
      </c>
      <c r="J9" s="1"/>
      <c r="K9" s="45" t="str">
        <f t="shared" si="0"/>
        <v>Victor Hugo Marques</v>
      </c>
      <c r="L9" s="45"/>
      <c r="M9" s="45"/>
      <c r="N9" s="45"/>
      <c r="O9" s="45"/>
      <c r="P9" s="1"/>
      <c r="Q9" s="1"/>
      <c r="R9" s="1"/>
      <c r="S9" s="1"/>
      <c r="T9" s="1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" customHeight="1" x14ac:dyDescent="0.25">
      <c r="A12" s="1"/>
      <c r="B12" s="50" t="s">
        <v>81</v>
      </c>
      <c r="C12" s="50"/>
      <c r="D12" s="50"/>
      <c r="E12" s="52" t="str">
        <f>_xlfn.CONCAT(B4," ",C5," ",D7," ",G8," ",I9,)</f>
        <v>Eduardo Bezerra Nunes 2010 SP</v>
      </c>
      <c r="F12" s="52"/>
      <c r="G12" s="52"/>
      <c r="H12" s="52"/>
      <c r="I12" s="52"/>
      <c r="J12" s="13"/>
      <c r="K12" s="39"/>
      <c r="L12" s="39"/>
      <c r="M12" s="39"/>
      <c r="N12" s="39"/>
      <c r="O12" s="39"/>
      <c r="P12" s="39"/>
      <c r="Q12" s="39"/>
    </row>
    <row r="13" spans="1:20" ht="15" customHeight="1" x14ac:dyDescent="0.25">
      <c r="A13" s="1"/>
      <c r="B13" s="51"/>
      <c r="C13" s="51"/>
      <c r="D13" s="51"/>
      <c r="E13" s="53"/>
      <c r="F13" s="53"/>
      <c r="G13" s="53"/>
      <c r="H13" s="53"/>
      <c r="I13" s="53"/>
      <c r="J13" s="1"/>
      <c r="K13" s="39"/>
      <c r="L13" s="39"/>
      <c r="M13" s="39"/>
      <c r="N13" s="39"/>
      <c r="O13" s="39"/>
      <c r="P13" s="39"/>
      <c r="Q13" s="39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9" spans="1:20" x14ac:dyDescent="0.25">
      <c r="H29" s="14"/>
    </row>
  </sheetData>
  <mergeCells count="11">
    <mergeCell ref="K7:O7"/>
    <mergeCell ref="K8:O8"/>
    <mergeCell ref="K9:O9"/>
    <mergeCell ref="B12:D13"/>
    <mergeCell ref="E12:I13"/>
    <mergeCell ref="K6:O6"/>
    <mergeCell ref="B2:I2"/>
    <mergeCell ref="E3:G3"/>
    <mergeCell ref="K3:O3"/>
    <mergeCell ref="K4:O4"/>
    <mergeCell ref="K5:O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7A41-8C4B-4C82-80B8-5831FEEC6C42}">
  <dimension ref="A3:G16"/>
  <sheetViews>
    <sheetView workbookViewId="0">
      <selection activeCell="B16" sqref="B16"/>
    </sheetView>
  </sheetViews>
  <sheetFormatPr defaultColWidth="9" defaultRowHeight="15" x14ac:dyDescent="0.25"/>
  <cols>
    <col min="2" max="2" width="36.85546875" customWidth="1"/>
    <col min="3" max="3" width="13" customWidth="1"/>
    <col min="4" max="4" width="3" customWidth="1"/>
    <col min="5" max="5" width="11.28515625" customWidth="1"/>
    <col min="6" max="6" width="22.42578125" customWidth="1"/>
    <col min="7" max="7" width="15.140625" customWidth="1"/>
  </cols>
  <sheetData>
    <row r="3" spans="1:7" x14ac:dyDescent="0.25">
      <c r="B3" s="16" t="s">
        <v>93</v>
      </c>
    </row>
    <row r="4" spans="1:7" x14ac:dyDescent="0.25">
      <c r="B4" s="17" t="s">
        <v>94</v>
      </c>
    </row>
    <row r="5" spans="1:7" x14ac:dyDescent="0.25">
      <c r="B5" s="18" t="s">
        <v>95</v>
      </c>
      <c r="E5" s="54" t="s">
        <v>82</v>
      </c>
      <c r="F5" s="55"/>
      <c r="G5" s="56"/>
    </row>
    <row r="6" spans="1:7" x14ac:dyDescent="0.25">
      <c r="B6" s="17"/>
      <c r="E6" s="15" t="s">
        <v>83</v>
      </c>
      <c r="F6" s="15" t="s">
        <v>84</v>
      </c>
      <c r="G6" s="15" t="s">
        <v>85</v>
      </c>
    </row>
    <row r="7" spans="1:7" x14ac:dyDescent="0.25">
      <c r="B7" s="18" t="s">
        <v>96</v>
      </c>
      <c r="E7" s="15" t="s">
        <v>86</v>
      </c>
      <c r="F7" s="15" t="s">
        <v>87</v>
      </c>
      <c r="G7" s="15" t="s">
        <v>88</v>
      </c>
    </row>
    <row r="8" spans="1:7" x14ac:dyDescent="0.25">
      <c r="B8" s="17"/>
      <c r="E8" s="15" t="s">
        <v>89</v>
      </c>
      <c r="F8" s="15" t="s">
        <v>90</v>
      </c>
      <c r="G8" s="15" t="s">
        <v>91</v>
      </c>
    </row>
    <row r="9" spans="1:7" x14ac:dyDescent="0.25">
      <c r="B9" s="18" t="s">
        <v>97</v>
      </c>
    </row>
    <row r="10" spans="1:7" x14ac:dyDescent="0.25">
      <c r="B10" s="17" t="s">
        <v>98</v>
      </c>
    </row>
    <row r="11" spans="1:7" x14ac:dyDescent="0.25">
      <c r="B11" s="18"/>
      <c r="E11" s="20" t="s">
        <v>92</v>
      </c>
      <c r="F11" s="21"/>
      <c r="G11" s="21"/>
    </row>
    <row r="12" spans="1:7" x14ac:dyDescent="0.25">
      <c r="B12" s="18"/>
      <c r="E12" s="35"/>
      <c r="F12" s="21"/>
      <c r="G12" s="21"/>
    </row>
    <row r="13" spans="1:7" x14ac:dyDescent="0.25">
      <c r="B13" s="18"/>
      <c r="E13" s="35"/>
      <c r="F13" s="21"/>
      <c r="G13" s="21"/>
    </row>
    <row r="14" spans="1:7" ht="45" x14ac:dyDescent="0.25">
      <c r="B14" s="17"/>
      <c r="E14" s="36"/>
      <c r="F14" s="36" t="str">
        <f>_xlfn.TEXTJOIN(" ",FALSE,E6:G8)</f>
        <v>Exemplo de como o Excel trabalha unindo as matrizes</v>
      </c>
      <c r="G14" s="36"/>
    </row>
    <row r="15" spans="1:7" x14ac:dyDescent="0.25">
      <c r="B15" s="19" t="s">
        <v>92</v>
      </c>
      <c r="E15" s="36"/>
      <c r="F15" s="36"/>
      <c r="G15" s="36"/>
    </row>
    <row r="16" spans="1:7" x14ac:dyDescent="0.25">
      <c r="A16" s="37"/>
      <c r="B16" s="38" t="str">
        <f>_xlfn.TEXTJOIN(" ",TRUE,B4:B13)</f>
        <v>Estamos juntando todas estas células com o método desta aula</v>
      </c>
      <c r="C16" s="37"/>
    </row>
  </sheetData>
  <mergeCells count="1">
    <mergeCell ref="E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1321-F3DE-419D-A8BD-F2DA45021218}">
  <dimension ref="A1:V14"/>
  <sheetViews>
    <sheetView workbookViewId="0">
      <selection activeCell="G3" sqref="G3"/>
    </sheetView>
  </sheetViews>
  <sheetFormatPr defaultRowHeight="15" x14ac:dyDescent="0.25"/>
  <cols>
    <col min="2" max="2" width="14.7109375" bestFit="1" customWidth="1"/>
    <col min="3" max="3" width="22.7109375" bestFit="1" customWidth="1"/>
    <col min="4" max="4" width="10.140625" bestFit="1" customWidth="1"/>
    <col min="5" max="5" width="6.7109375" bestFit="1" customWidth="1"/>
    <col min="6" max="6" width="50.5703125" customWidth="1"/>
  </cols>
  <sheetData>
    <row r="1" spans="1:22" ht="15.75" thickBot="1" x14ac:dyDescent="0.3">
      <c r="B1" s="22" t="s">
        <v>99</v>
      </c>
      <c r="C1" s="23"/>
      <c r="D1" s="23"/>
      <c r="E1" s="23"/>
      <c r="F1" s="24"/>
    </row>
    <row r="2" spans="1:22" ht="15.75" thickBot="1" x14ac:dyDescent="0.3">
      <c r="A2" s="1"/>
      <c r="B2" s="25" t="s">
        <v>47</v>
      </c>
      <c r="C2" s="25" t="s">
        <v>100</v>
      </c>
      <c r="D2" s="25" t="s">
        <v>51</v>
      </c>
      <c r="E2" s="25" t="s">
        <v>101</v>
      </c>
      <c r="F2" s="25" t="s">
        <v>102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thickBot="1" x14ac:dyDescent="0.3">
      <c r="B3" s="26" t="s">
        <v>103</v>
      </c>
      <c r="C3" s="26" t="s">
        <v>104</v>
      </c>
      <c r="D3" s="26" t="s">
        <v>105</v>
      </c>
      <c r="E3" s="26" t="s">
        <v>63</v>
      </c>
      <c r="F3" s="27" t="str">
        <f>_xlfn.TEXTJOIN(" ,",FALSE,B3:E3)</f>
        <v>Ana Gates ,Rua Amaral Neto 234 ,Barueri ,SP</v>
      </c>
    </row>
    <row r="4" spans="1:22" ht="15.75" thickBot="1" x14ac:dyDescent="0.3">
      <c r="B4" t="s">
        <v>106</v>
      </c>
      <c r="C4" t="s">
        <v>107</v>
      </c>
      <c r="D4" t="s">
        <v>62</v>
      </c>
      <c r="E4" t="s">
        <v>63</v>
      </c>
      <c r="F4" s="27" t="str">
        <f t="shared" ref="F4:F10" si="0">_xlfn.TEXTJOIN(" ,",FALSE,B4:E4)</f>
        <v>Marcos Emílio ,Rua dos Andrades 1000 ,Osasco ,SP</v>
      </c>
    </row>
    <row r="5" spans="1:22" ht="15.75" thickBot="1" x14ac:dyDescent="0.3">
      <c r="B5" s="28" t="s">
        <v>108</v>
      </c>
      <c r="C5" s="28" t="s">
        <v>109</v>
      </c>
      <c r="D5" s="28" t="s">
        <v>71</v>
      </c>
      <c r="E5" s="28" t="s">
        <v>63</v>
      </c>
      <c r="F5" s="27" t="str">
        <f t="shared" si="0"/>
        <v>Gildete Maria ,Via Cunha Matos 23 ,Cotia ,SP</v>
      </c>
    </row>
    <row r="6" spans="1:22" ht="15.75" thickBot="1" x14ac:dyDescent="0.3">
      <c r="B6" t="s">
        <v>110</v>
      </c>
      <c r="C6" t="s">
        <v>111</v>
      </c>
      <c r="D6" t="s">
        <v>112</v>
      </c>
      <c r="E6" t="s">
        <v>63</v>
      </c>
      <c r="F6" s="27" t="str">
        <f t="shared" si="0"/>
        <v>Ruth Gomes ,Alameda Araguaiana 100 ,Guarulhos ,SP</v>
      </c>
    </row>
    <row r="7" spans="1:22" ht="15.75" thickBot="1" x14ac:dyDescent="0.3">
      <c r="B7" s="28" t="s">
        <v>113</v>
      </c>
      <c r="C7" s="28" t="s">
        <v>114</v>
      </c>
      <c r="D7" s="28" t="s">
        <v>115</v>
      </c>
      <c r="E7" s="28" t="s">
        <v>63</v>
      </c>
      <c r="F7" s="27" t="str">
        <f t="shared" si="0"/>
        <v>Euzébio Matos ,Avenida Policarpo Sá 129 ,Campinas ,SP</v>
      </c>
    </row>
    <row r="8" spans="1:22" ht="15.75" thickBot="1" x14ac:dyDescent="0.3">
      <c r="B8" t="s">
        <v>116</v>
      </c>
      <c r="C8" t="s">
        <v>117</v>
      </c>
      <c r="D8" t="s">
        <v>118</v>
      </c>
      <c r="E8" t="s">
        <v>63</v>
      </c>
      <c r="F8" s="27" t="str">
        <f t="shared" si="0"/>
        <v>Anderson Costa ,Travessa Guido Sergio 12 ,Sorocaba ,SP</v>
      </c>
    </row>
    <row r="9" spans="1:22" ht="15.75" thickBot="1" x14ac:dyDescent="0.3">
      <c r="B9" s="28" t="s">
        <v>119</v>
      </c>
      <c r="C9" s="28" t="s">
        <v>120</v>
      </c>
      <c r="D9" s="28" t="s">
        <v>121</v>
      </c>
      <c r="E9" s="28" t="s">
        <v>63</v>
      </c>
      <c r="F9" s="27" t="str">
        <f t="shared" si="0"/>
        <v>William Martins ,Rua Batatais 100 ,Indaiatuba ,SP</v>
      </c>
    </row>
    <row r="10" spans="1:22" ht="15.75" thickBot="1" x14ac:dyDescent="0.3">
      <c r="B10" s="29" t="s">
        <v>122</v>
      </c>
      <c r="C10" s="29" t="s">
        <v>123</v>
      </c>
      <c r="D10" s="29" t="s">
        <v>115</v>
      </c>
      <c r="E10" s="29" t="s">
        <v>63</v>
      </c>
      <c r="F10" s="27" t="str">
        <f t="shared" si="0"/>
        <v>Sheila Carlos ,Rua Floriano Peixoto 200 ,Campinas ,SP</v>
      </c>
    </row>
    <row r="14" spans="1:22" x14ac:dyDescent="0.25">
      <c r="F14" s="30" t="s">
        <v>124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4700-AF9F-4CE0-8259-49CA79FB44C0}">
  <sheetPr>
    <tabColor rgb="FF00B050"/>
  </sheetPr>
  <dimension ref="A3:L20"/>
  <sheetViews>
    <sheetView tabSelected="1" topLeftCell="A31" zoomScaleNormal="100" workbookViewId="0">
      <selection activeCell="G43" sqref="G43"/>
    </sheetView>
  </sheetViews>
  <sheetFormatPr defaultColWidth="14.7109375" defaultRowHeight="15" x14ac:dyDescent="0.25"/>
  <cols>
    <col min="3" max="3" width="14.7109375" customWidth="1"/>
    <col min="4" max="4" width="17.42578125" customWidth="1"/>
    <col min="5" max="6" width="23" customWidth="1"/>
    <col min="7" max="7" width="24" customWidth="1"/>
    <col min="8" max="8" width="23.42578125" customWidth="1"/>
    <col min="9" max="9" width="29.7109375" customWidth="1"/>
    <col min="10" max="10" width="8.5703125" customWidth="1"/>
    <col min="11" max="11" width="4.140625" customWidth="1"/>
  </cols>
  <sheetData>
    <row r="3" spans="1:12" ht="30" x14ac:dyDescent="0.25">
      <c r="A3" s="31"/>
      <c r="B3" s="32" t="s">
        <v>47</v>
      </c>
      <c r="C3" s="32" t="s">
        <v>49</v>
      </c>
      <c r="D3" s="32" t="s">
        <v>125</v>
      </c>
      <c r="E3" s="32" t="s">
        <v>126</v>
      </c>
      <c r="F3" s="32" t="s">
        <v>127</v>
      </c>
      <c r="G3" s="32" t="s">
        <v>128</v>
      </c>
      <c r="H3" s="32" t="s">
        <v>129</v>
      </c>
      <c r="I3" s="32" t="s">
        <v>130</v>
      </c>
      <c r="J3" s="31"/>
      <c r="K3" s="31"/>
      <c r="L3" s="31"/>
    </row>
    <row r="4" spans="1:12" x14ac:dyDescent="0.25">
      <c r="B4" s="33" t="s">
        <v>131</v>
      </c>
      <c r="C4" s="33" t="s">
        <v>132</v>
      </c>
      <c r="D4" s="33" t="str">
        <f>TRIM(email_colaboradores[[#This Row],[Nome]])</f>
        <v>Ana</v>
      </c>
      <c r="E4" s="33" t="str">
        <f t="shared" ref="E4:E20" si="0">TRIM(C4)</f>
        <v>Nunes</v>
      </c>
      <c r="F4" s="33">
        <v>27</v>
      </c>
      <c r="G4" s="33" t="s">
        <v>133</v>
      </c>
      <c r="H4" s="33" t="s">
        <v>134</v>
      </c>
      <c r="I4" s="40" t="str">
        <f>LOWER(_xlfn.CONCAT(email_colaboradores[[#This Row],[Arrumar Nome]],".",email_colaboradores[[#This Row],[Arrumar Sobrenome]],"@",email_colaboradores[[#This Row],[Extensão para novo e-mail]],))</f>
        <v>ana.nunes@contoso.net.br</v>
      </c>
    </row>
    <row r="5" spans="1:12" x14ac:dyDescent="0.25">
      <c r="B5" s="33" t="s">
        <v>135</v>
      </c>
      <c r="C5" s="33" t="s">
        <v>136</v>
      </c>
      <c r="D5" s="33" t="str">
        <f>TRIM(email_colaboradores[[#This Row],[Nome]])</f>
        <v>Maria</v>
      </c>
      <c r="E5" s="33" t="str">
        <f t="shared" si="0"/>
        <v>Aguiar</v>
      </c>
      <c r="F5" s="33">
        <v>40</v>
      </c>
      <c r="G5" s="33" t="s">
        <v>137</v>
      </c>
      <c r="H5" s="33" t="s">
        <v>134</v>
      </c>
      <c r="I5" s="33" t="str">
        <f>LOWER(_xlfn.CONCAT(email_colaboradores[[#This Row],[Arrumar Nome]],".",email_colaboradores[[#This Row],[Arrumar Sobrenome]],"@",email_colaboradores[[#This Row],[Extensão para novo e-mail]],))</f>
        <v>maria.aguiar@contoso.net.br</v>
      </c>
    </row>
    <row r="6" spans="1:12" x14ac:dyDescent="0.25">
      <c r="B6" s="33" t="s">
        <v>138</v>
      </c>
      <c r="C6" s="33" t="s">
        <v>139</v>
      </c>
      <c r="D6" s="33" t="str">
        <f>TRIM(email_colaboradores[[#This Row],[Nome]])</f>
        <v>Ceres</v>
      </c>
      <c r="E6" s="33" t="str">
        <f t="shared" si="0"/>
        <v>Estevez</v>
      </c>
      <c r="F6" s="33">
        <v>46</v>
      </c>
      <c r="G6" s="33" t="s">
        <v>140</v>
      </c>
      <c r="H6" s="33" t="s">
        <v>134</v>
      </c>
      <c r="I6" s="33" t="str">
        <f>LOWER(_xlfn.CONCAT(email_colaboradores[[#This Row],[Arrumar Nome]],".",email_colaboradores[[#This Row],[Arrumar Sobrenome]],"@",email_colaboradores[[#This Row],[Extensão para novo e-mail]],))</f>
        <v>ceres.estevez@contoso.net.br</v>
      </c>
    </row>
    <row r="7" spans="1:12" x14ac:dyDescent="0.25">
      <c r="B7" s="33" t="s">
        <v>141</v>
      </c>
      <c r="C7" s="33" t="s">
        <v>142</v>
      </c>
      <c r="D7" s="33" t="str">
        <f>TRIM(email_colaboradores[[#This Row],[Nome]])</f>
        <v>Marcia</v>
      </c>
      <c r="E7" s="33" t="str">
        <f t="shared" si="0"/>
        <v>Dias</v>
      </c>
      <c r="F7" s="33">
        <v>65</v>
      </c>
      <c r="G7" s="33" t="s">
        <v>143</v>
      </c>
      <c r="H7" s="33" t="s">
        <v>134</v>
      </c>
      <c r="I7" s="33" t="str">
        <f>LOWER(_xlfn.CONCAT(email_colaboradores[[#This Row],[Arrumar Nome]],".",email_colaboradores[[#This Row],[Arrumar Sobrenome]],"@",email_colaboradores[[#This Row],[Extensão para novo e-mail]],))</f>
        <v>marcia.dias@contoso.net.br</v>
      </c>
    </row>
    <row r="8" spans="1:12" x14ac:dyDescent="0.25">
      <c r="B8" s="33" t="s">
        <v>144</v>
      </c>
      <c r="C8" s="33" t="s">
        <v>145</v>
      </c>
      <c r="D8" s="33" t="str">
        <f>TRIM(email_colaboradores[[#This Row],[Nome]])</f>
        <v>Tamara</v>
      </c>
      <c r="E8" s="33" t="str">
        <f t="shared" si="0"/>
        <v>Danubio</v>
      </c>
      <c r="F8" s="33">
        <v>51</v>
      </c>
      <c r="G8" s="33" t="s">
        <v>146</v>
      </c>
      <c r="H8" s="33" t="s">
        <v>134</v>
      </c>
      <c r="I8" s="33" t="str">
        <f>LOWER(_xlfn.CONCAT(email_colaboradores[[#This Row],[Arrumar Nome]],".",email_colaboradores[[#This Row],[Arrumar Sobrenome]],"@",email_colaboradores[[#This Row],[Extensão para novo e-mail]],))</f>
        <v>tamara.danubio@contoso.net.br</v>
      </c>
    </row>
    <row r="9" spans="1:12" x14ac:dyDescent="0.25">
      <c r="B9" s="33" t="s">
        <v>147</v>
      </c>
      <c r="C9" s="33" t="s">
        <v>148</v>
      </c>
      <c r="D9" s="33" t="str">
        <f>TRIM(email_colaboradores[[#This Row],[Nome]])</f>
        <v>Valter</v>
      </c>
      <c r="E9" s="33" t="str">
        <f t="shared" si="0"/>
        <v>Fortes</v>
      </c>
      <c r="F9" s="33">
        <v>34</v>
      </c>
      <c r="G9" s="33" t="s">
        <v>140</v>
      </c>
      <c r="H9" s="33" t="s">
        <v>134</v>
      </c>
      <c r="I9" s="33" t="str">
        <f>LOWER(_xlfn.CONCAT(email_colaboradores[[#This Row],[Arrumar Nome]],".",email_colaboradores[[#This Row],[Arrumar Sobrenome]],"@",email_colaboradores[[#This Row],[Extensão para novo e-mail]],))</f>
        <v>valter.fortes@contoso.net.br</v>
      </c>
    </row>
    <row r="10" spans="1:12" x14ac:dyDescent="0.25">
      <c r="B10" s="33" t="s">
        <v>149</v>
      </c>
      <c r="C10" s="33" t="s">
        <v>150</v>
      </c>
      <c r="D10" s="33" t="str">
        <f>TRIM(email_colaboradores[[#This Row],[Nome]])</f>
        <v>Victor</v>
      </c>
      <c r="E10" s="33" t="str">
        <f t="shared" si="0"/>
        <v>Silva</v>
      </c>
      <c r="F10" s="33">
        <v>52</v>
      </c>
      <c r="G10" s="33" t="s">
        <v>140</v>
      </c>
      <c r="H10" s="33" t="s">
        <v>134</v>
      </c>
      <c r="I10" s="33" t="str">
        <f>LOWER(_xlfn.CONCAT(email_colaboradores[[#This Row],[Arrumar Nome]],".",email_colaboradores[[#This Row],[Arrumar Sobrenome]],"@",email_colaboradores[[#This Row],[Extensão para novo e-mail]],))</f>
        <v>victor.silva@contoso.net.br</v>
      </c>
    </row>
    <row r="11" spans="1:12" x14ac:dyDescent="0.25">
      <c r="B11" s="33" t="s">
        <v>151</v>
      </c>
      <c r="C11" s="33" t="s">
        <v>152</v>
      </c>
      <c r="D11" s="33" t="str">
        <f>TRIM(email_colaboradores[[#This Row],[Nome]])</f>
        <v>Camila</v>
      </c>
      <c r="E11" s="33" t="str">
        <f t="shared" si="0"/>
        <v>Souza</v>
      </c>
      <c r="F11" s="33">
        <v>43</v>
      </c>
      <c r="G11" s="33" t="s">
        <v>137</v>
      </c>
      <c r="H11" s="33" t="s">
        <v>134</v>
      </c>
      <c r="I11" s="33" t="str">
        <f>LOWER(_xlfn.CONCAT(email_colaboradores[[#This Row],[Arrumar Nome]],".",email_colaboradores[[#This Row],[Arrumar Sobrenome]],"@",email_colaboradores[[#This Row],[Extensão para novo e-mail]],))</f>
        <v>camila.souza@contoso.net.br</v>
      </c>
    </row>
    <row r="12" spans="1:12" x14ac:dyDescent="0.25">
      <c r="B12" s="33" t="s">
        <v>153</v>
      </c>
      <c r="C12" s="33" t="s">
        <v>154</v>
      </c>
      <c r="D12" s="33" t="str">
        <f>TRIM(email_colaboradores[[#This Row],[Nome]])</f>
        <v>Denise</v>
      </c>
      <c r="E12" s="33" t="str">
        <f t="shared" si="0"/>
        <v>Alencar</v>
      </c>
      <c r="F12" s="33">
        <v>21</v>
      </c>
      <c r="G12" s="33" t="s">
        <v>146</v>
      </c>
      <c r="H12" s="33" t="s">
        <v>134</v>
      </c>
      <c r="I12" s="33" t="str">
        <f>LOWER(_xlfn.CONCAT(email_colaboradores[[#This Row],[Arrumar Nome]],".",email_colaboradores[[#This Row],[Arrumar Sobrenome]],"@",email_colaboradores[[#This Row],[Extensão para novo e-mail]],))</f>
        <v>denise.alencar@contoso.net.br</v>
      </c>
    </row>
    <row r="13" spans="1:12" x14ac:dyDescent="0.25">
      <c r="B13" s="33" t="s">
        <v>155</v>
      </c>
      <c r="C13" s="33" t="s">
        <v>156</v>
      </c>
      <c r="D13" s="33" t="str">
        <f>TRIM(email_colaboradores[[#This Row],[Nome]])</f>
        <v>Dilza</v>
      </c>
      <c r="E13" s="33" t="str">
        <f t="shared" si="0"/>
        <v>Sotero</v>
      </c>
      <c r="F13" s="33">
        <v>62</v>
      </c>
      <c r="G13" s="33" t="s">
        <v>143</v>
      </c>
      <c r="H13" s="33" t="s">
        <v>134</v>
      </c>
      <c r="I13" s="33" t="str">
        <f>LOWER(_xlfn.CONCAT(email_colaboradores[[#This Row],[Arrumar Nome]],".",email_colaboradores[[#This Row],[Arrumar Sobrenome]],"@",email_colaboradores[[#This Row],[Extensão para novo e-mail]],))</f>
        <v>dilza.sotero@contoso.net.br</v>
      </c>
    </row>
    <row r="14" spans="1:12" x14ac:dyDescent="0.25">
      <c r="B14" s="33" t="s">
        <v>157</v>
      </c>
      <c r="C14" s="33" t="s">
        <v>158</v>
      </c>
      <c r="D14" s="33" t="str">
        <f>TRIM(email_colaboradores[[#This Row],[Nome]])</f>
        <v>Elenice</v>
      </c>
      <c r="E14" s="33" t="str">
        <f t="shared" si="0"/>
        <v>Mathias</v>
      </c>
      <c r="F14" s="33">
        <v>64</v>
      </c>
      <c r="G14" s="33" t="s">
        <v>146</v>
      </c>
      <c r="H14" s="33" t="s">
        <v>134</v>
      </c>
      <c r="I14" s="33" t="str">
        <f>LOWER(_xlfn.CONCAT(email_colaboradores[[#This Row],[Arrumar Nome]],".",email_colaboradores[[#This Row],[Arrumar Sobrenome]],"@",email_colaboradores[[#This Row],[Extensão para novo e-mail]],))</f>
        <v>elenice.mathias@contoso.net.br</v>
      </c>
    </row>
    <row r="15" spans="1:12" x14ac:dyDescent="0.25">
      <c r="B15" s="33" t="s">
        <v>159</v>
      </c>
      <c r="C15" s="33" t="s">
        <v>160</v>
      </c>
      <c r="D15" s="33" t="str">
        <f>TRIM(email_colaboradores[[#This Row],[Nome]])</f>
        <v>Marcos</v>
      </c>
      <c r="E15" s="33" t="str">
        <f t="shared" si="0"/>
        <v>Novaes</v>
      </c>
      <c r="F15" s="33">
        <v>18</v>
      </c>
      <c r="G15" s="33" t="s">
        <v>146</v>
      </c>
      <c r="H15" s="33" t="s">
        <v>134</v>
      </c>
      <c r="I15" s="33" t="str">
        <f>LOWER(_xlfn.CONCAT(email_colaboradores[[#This Row],[Arrumar Nome]],".",email_colaboradores[[#This Row],[Arrumar Sobrenome]],"@",email_colaboradores[[#This Row],[Extensão para novo e-mail]],))</f>
        <v>marcos.novaes@contoso.net.br</v>
      </c>
      <c r="K15" s="34"/>
    </row>
    <row r="16" spans="1:12" x14ac:dyDescent="0.25">
      <c r="B16" s="33" t="s">
        <v>161</v>
      </c>
      <c r="C16" s="33" t="s">
        <v>162</v>
      </c>
      <c r="D16" s="33" t="str">
        <f>TRIM(email_colaboradores[[#This Row],[Nome]])</f>
        <v>Bruno</v>
      </c>
      <c r="E16" s="33" t="str">
        <f t="shared" si="0"/>
        <v>Quincas</v>
      </c>
      <c r="F16" s="33">
        <v>36</v>
      </c>
      <c r="G16" s="33" t="s">
        <v>143</v>
      </c>
      <c r="H16" s="33" t="s">
        <v>134</v>
      </c>
      <c r="I16" s="33" t="str">
        <f>LOWER(_xlfn.CONCAT(email_colaboradores[[#This Row],[Arrumar Nome]],".",email_colaboradores[[#This Row],[Arrumar Sobrenome]],"@",email_colaboradores[[#This Row],[Extensão para novo e-mail]],))</f>
        <v>bruno.quincas@contoso.net.br</v>
      </c>
    </row>
    <row r="17" spans="2:9" x14ac:dyDescent="0.25">
      <c r="B17" s="33" t="s">
        <v>163</v>
      </c>
      <c r="C17" s="33" t="s">
        <v>164</v>
      </c>
      <c r="D17" s="33" t="str">
        <f>TRIM(email_colaboradores[[#This Row],[Nome]])</f>
        <v>Bruna</v>
      </c>
      <c r="E17" s="33" t="str">
        <f t="shared" si="0"/>
        <v>Carlos</v>
      </c>
      <c r="F17" s="33">
        <v>36</v>
      </c>
      <c r="G17" s="33" t="s">
        <v>137</v>
      </c>
      <c r="H17" s="33" t="s">
        <v>134</v>
      </c>
      <c r="I17" s="33" t="str">
        <f>LOWER(_xlfn.CONCAT(email_colaboradores[[#This Row],[Arrumar Nome]],".",email_colaboradores[[#This Row],[Arrumar Sobrenome]],"@",email_colaboradores[[#This Row],[Extensão para novo e-mail]],))</f>
        <v>bruna.carlos@contoso.net.br</v>
      </c>
    </row>
    <row r="18" spans="2:9" x14ac:dyDescent="0.25">
      <c r="B18" s="33" t="s">
        <v>165</v>
      </c>
      <c r="C18" s="33" t="s">
        <v>166</v>
      </c>
      <c r="D18" s="33" t="str">
        <f>TRIM(email_colaboradores[[#This Row],[Nome]])</f>
        <v>Cilene</v>
      </c>
      <c r="E18" s="33" t="str">
        <f t="shared" si="0"/>
        <v>Vaz</v>
      </c>
      <c r="F18" s="33">
        <v>58</v>
      </c>
      <c r="G18" s="33" t="s">
        <v>137</v>
      </c>
      <c r="H18" s="33" t="s">
        <v>134</v>
      </c>
      <c r="I18" s="33" t="str">
        <f>LOWER(_xlfn.CONCAT(email_colaboradores[[#This Row],[Arrumar Nome]],".",email_colaboradores[[#This Row],[Arrumar Sobrenome]],"@",email_colaboradores[[#This Row],[Extensão para novo e-mail]],))</f>
        <v>cilene.vaz@contoso.net.br</v>
      </c>
    </row>
    <row r="19" spans="2:9" x14ac:dyDescent="0.25">
      <c r="B19" s="33" t="s">
        <v>167</v>
      </c>
      <c r="C19" s="33" t="s">
        <v>168</v>
      </c>
      <c r="D19" s="33" t="str">
        <f>TRIM(email_colaboradores[[#This Row],[Nome]])</f>
        <v>Jessica</v>
      </c>
      <c r="E19" s="33" t="str">
        <f t="shared" si="0"/>
        <v>Godoi</v>
      </c>
      <c r="F19" s="33">
        <v>41</v>
      </c>
      <c r="G19" s="33" t="s">
        <v>143</v>
      </c>
      <c r="H19" s="33" t="s">
        <v>134</v>
      </c>
      <c r="I19" s="33" t="str">
        <f>LOWER(_xlfn.CONCAT(email_colaboradores[[#This Row],[Arrumar Nome]],".",email_colaboradores[[#This Row],[Arrumar Sobrenome]],"@",email_colaboradores[[#This Row],[Extensão para novo e-mail]],))</f>
        <v>jessica.godoi@contoso.net.br</v>
      </c>
    </row>
    <row r="20" spans="2:9" x14ac:dyDescent="0.25">
      <c r="B20" s="33" t="s">
        <v>169</v>
      </c>
      <c r="C20" s="33" t="s">
        <v>170</v>
      </c>
      <c r="D20" s="33" t="str">
        <f>TRIM(email_colaboradores[[#This Row],[Nome]])</f>
        <v>Gildete</v>
      </c>
      <c r="E20" s="33" t="str">
        <f t="shared" si="0"/>
        <v>Saturnino</v>
      </c>
      <c r="F20" s="33">
        <v>40</v>
      </c>
      <c r="G20" s="33" t="s">
        <v>137</v>
      </c>
      <c r="H20" s="33" t="s">
        <v>134</v>
      </c>
      <c r="I20" s="33" t="str">
        <f>LOWER(_xlfn.CONCAT(email_colaboradores[[#This Row],[Arrumar Nome]],".",email_colaboradores[[#This Row],[Arrumar Sobrenome]],"@",email_colaboradores[[#This Row],[Extensão para novo e-mail]],))</f>
        <v>gildete.saturnino@contoso.net.br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Funções de texto</vt:lpstr>
      <vt:lpstr>Arrumar</vt:lpstr>
      <vt:lpstr>Concatenar</vt:lpstr>
      <vt:lpstr>UnirTexto 1</vt:lpstr>
      <vt:lpstr>Unirtexto 2</vt:lpstr>
      <vt:lpstr>Desafio Final Funções 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2025-11-13T20:23:45Z</dcterms:created>
  <dcterms:modified xsi:type="dcterms:W3CDTF">2025-11-14T23:01:57Z</dcterms:modified>
</cp:coreProperties>
</file>