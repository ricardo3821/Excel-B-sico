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1338739409\Desktop\Excel Basico\"/>
    </mc:Choice>
  </mc:AlternateContent>
  <xr:revisionPtr revIDLastSave="0" documentId="8_{7715BE05-1F8B-43C5-AEA8-9828FEB4EBEB}" xr6:coauthVersionLast="36" xr6:coauthVersionMax="36" xr10:uidLastSave="{00000000-0000-0000-0000-000000000000}"/>
  <bookViews>
    <workbookView xWindow="0" yWindow="0" windowWidth="20490" windowHeight="7545" xr2:uid="{69691D44-0EBA-4E60-9E1E-74FA80E1F7F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" i="1" l="1"/>
  <c r="K10" i="1"/>
  <c r="L9" i="1" s="1"/>
  <c r="F11" i="1"/>
  <c r="H12" i="1" s="1"/>
  <c r="D13" i="1"/>
  <c r="D14" i="1"/>
  <c r="D15" i="1"/>
  <c r="D16" i="1"/>
  <c r="D12" i="1"/>
  <c r="D3" i="1"/>
  <c r="D4" i="1"/>
  <c r="D5" i="1"/>
  <c r="D6" i="1"/>
  <c r="D7" i="1"/>
  <c r="L8" i="1" l="1"/>
  <c r="L10" i="1" s="1"/>
  <c r="F2" i="1"/>
  <c r="H3" i="1" s="1"/>
</calcChain>
</file>

<file path=xl/sharedStrings.xml><?xml version="1.0" encoding="utf-8"?>
<sst xmlns="http://schemas.openxmlformats.org/spreadsheetml/2006/main" count="33" uniqueCount="21">
  <si>
    <t>Planilha de Vendas Papelaria</t>
  </si>
  <si>
    <t>Total Vendas Semestre</t>
  </si>
  <si>
    <t>Produto</t>
  </si>
  <si>
    <t>Preço Unitário</t>
  </si>
  <si>
    <t>Vendas Semestre</t>
  </si>
  <si>
    <t>Qtd. Vendas</t>
  </si>
  <si>
    <t>% Vendas Alcançadas</t>
  </si>
  <si>
    <t>Papel Sulfite</t>
  </si>
  <si>
    <t>Grampeador</t>
  </si>
  <si>
    <t>Meta Vendas Semestre</t>
  </si>
  <si>
    <t>Extrator de Grampo</t>
  </si>
  <si>
    <t>Caneta Esferográfica</t>
  </si>
  <si>
    <t>Calculadora de mesa</t>
  </si>
  <si>
    <t>Vendas Realizadas</t>
  </si>
  <si>
    <t>água</t>
  </si>
  <si>
    <t>luz</t>
  </si>
  <si>
    <t>compras</t>
  </si>
  <si>
    <t>Total</t>
  </si>
  <si>
    <t>Coluna1</t>
  </si>
  <si>
    <t>Coluna2</t>
  </si>
  <si>
    <t>Coluna3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</si>
</sst>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theme="8"/>
      </patternFill>
    </fill>
    <fill>
      <patternFill patternType="solid">
        <fgColor theme="6" tint="0.79998168889431442"/>
        <bgColor theme="8" tint="0.59999389629810485"/>
      </patternFill>
    </fill>
    <fill>
      <patternFill patternType="solid">
        <fgColor theme="8"/>
        <bgColor theme="8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theme="8" tint="0.79998168889431442"/>
        <bgColor theme="8" tint="0.79998168889431442"/>
      </patternFill>
    </fill>
  </fills>
  <borders count="14">
    <border>
      <left/>
      <right/>
      <top/>
      <bottom/>
      <diagonal/>
    </border>
    <border>
      <left/>
      <right/>
      <top style="thin">
        <color theme="6"/>
      </top>
      <bottom style="thin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/>
      <diagonal/>
    </border>
    <border>
      <left/>
      <right/>
      <top style="thin">
        <color theme="6"/>
      </top>
      <bottom/>
      <diagonal/>
    </border>
    <border>
      <left style="medium">
        <color theme="7"/>
      </left>
      <right style="medium">
        <color theme="7"/>
      </right>
      <top/>
      <bottom/>
      <diagonal/>
    </border>
    <border>
      <left/>
      <right/>
      <top/>
      <bottom style="thin">
        <color theme="6"/>
      </bottom>
      <diagonal/>
    </border>
    <border>
      <left style="medium">
        <color theme="7"/>
      </left>
      <right style="medium">
        <color theme="7"/>
      </right>
      <top/>
      <bottom style="medium">
        <color theme="7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thin">
        <color theme="0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8">
    <xf numFmtId="0" fontId="0" fillId="0" borderId="0" xfId="0"/>
    <xf numFmtId="0" fontId="2" fillId="2" borderId="0" xfId="0" applyFont="1" applyFill="1" applyAlignment="1">
      <alignment horizontal="centerContinuous"/>
    </xf>
    <xf numFmtId="0" fontId="1" fillId="2" borderId="0" xfId="0" applyFont="1" applyFill="1" applyAlignment="1">
      <alignment horizontal="centerContinuous"/>
    </xf>
    <xf numFmtId="0" fontId="3" fillId="3" borderId="0" xfId="0" applyFont="1" applyFill="1" applyBorder="1"/>
    <xf numFmtId="0" fontId="4" fillId="0" borderId="0" xfId="0" applyFont="1"/>
    <xf numFmtId="4" fontId="5" fillId="4" borderId="0" xfId="0" applyNumberFormat="1" applyFont="1" applyFill="1" applyBorder="1"/>
    <xf numFmtId="0" fontId="3" fillId="3" borderId="1" xfId="0" applyFont="1" applyFill="1" applyBorder="1"/>
    <xf numFmtId="4" fontId="0" fillId="0" borderId="0" xfId="0" applyNumberFormat="1"/>
    <xf numFmtId="3" fontId="0" fillId="0" borderId="2" xfId="0" applyNumberFormat="1" applyBorder="1"/>
    <xf numFmtId="3" fontId="0" fillId="0" borderId="4" xfId="0" applyNumberFormat="1" applyBorder="1"/>
    <xf numFmtId="3" fontId="0" fillId="0" borderId="6" xfId="0" applyNumberFormat="1" applyBorder="1"/>
    <xf numFmtId="0" fontId="6" fillId="5" borderId="7" xfId="0" applyFont="1" applyFill="1" applyBorder="1"/>
    <xf numFmtId="0" fontId="6" fillId="5" borderId="8" xfId="0" applyFont="1" applyFill="1" applyBorder="1"/>
    <xf numFmtId="0" fontId="6" fillId="5" borderId="9" xfId="0" applyFont="1" applyFill="1" applyBorder="1"/>
    <xf numFmtId="4" fontId="5" fillId="4" borderId="5" xfId="0" applyNumberFormat="1" applyFont="1" applyFill="1" applyBorder="1"/>
    <xf numFmtId="0" fontId="0" fillId="6" borderId="10" xfId="0" applyFont="1" applyFill="1" applyBorder="1"/>
    <xf numFmtId="4" fontId="0" fillId="6" borderId="11" xfId="0" applyNumberFormat="1" applyFont="1" applyFill="1" applyBorder="1"/>
    <xf numFmtId="4" fontId="0" fillId="6" borderId="12" xfId="0" applyNumberFormat="1" applyFont="1" applyFill="1" applyBorder="1"/>
    <xf numFmtId="3" fontId="0" fillId="6" borderId="13" xfId="0" applyNumberFormat="1" applyFont="1" applyFill="1" applyBorder="1"/>
    <xf numFmtId="0" fontId="0" fillId="7" borderId="10" xfId="0" applyFont="1" applyFill="1" applyBorder="1"/>
    <xf numFmtId="4" fontId="0" fillId="7" borderId="11" xfId="0" applyNumberFormat="1" applyFont="1" applyFill="1" applyBorder="1"/>
    <xf numFmtId="4" fontId="0" fillId="7" borderId="12" xfId="0" applyNumberFormat="1" applyFont="1" applyFill="1" applyBorder="1"/>
    <xf numFmtId="0" fontId="7" fillId="0" borderId="0" xfId="0" applyFont="1"/>
    <xf numFmtId="9" fontId="5" fillId="4" borderId="3" xfId="1" applyFont="1" applyFill="1" applyBorder="1" applyAlignment="1">
      <alignment horizontal="center" vertical="center"/>
    </xf>
    <xf numFmtId="9" fontId="5" fillId="4" borderId="0" xfId="1" applyFont="1" applyFill="1" applyBorder="1" applyAlignment="1">
      <alignment horizontal="center" vertical="center"/>
    </xf>
    <xf numFmtId="9" fontId="5" fillId="4" borderId="5" xfId="1" applyFont="1" applyFill="1" applyBorder="1" applyAlignment="1">
      <alignment horizontal="center" vertical="center"/>
    </xf>
    <xf numFmtId="9" fontId="0" fillId="0" borderId="0" xfId="1" applyFont="1"/>
    <xf numFmtId="9" fontId="0" fillId="0" borderId="0" xfId="0" applyNumberFormat="1"/>
  </cellXfs>
  <cellStyles count="2">
    <cellStyle name="Normal" xfId="0" builtinId="0"/>
    <cellStyle name="Porcentagem" xfId="1" builtinId="5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3" formatCode="#,##0"/>
      <border diagonalUp="0" diagonalDown="0">
        <left style="medium">
          <color theme="7"/>
        </left>
        <right style="medium">
          <color theme="7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numFmt numFmtId="4" formatCode="#,##0.00"/>
      <fill>
        <patternFill patternType="solid">
          <fgColor theme="8" tint="0.59999389629810485"/>
          <bgColor theme="6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fill>
        <patternFill patternType="solid">
          <fgColor theme="8" tint="0.59999389629810485"/>
          <bgColor theme="6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fill>
        <patternFill patternType="solid">
          <fgColor theme="8"/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numFmt numFmtId="4" formatCode="#,##0.00"/>
      <fill>
        <patternFill patternType="solid">
          <fgColor theme="8" tint="0.59999389629810485"/>
          <bgColor theme="6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fill>
        <patternFill patternType="solid">
          <fgColor theme="8" tint="0.59999389629810485"/>
          <bgColor theme="6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Calibri"/>
        <family val="2"/>
        <scheme val="minor"/>
      </font>
      <fill>
        <patternFill patternType="solid">
          <fgColor theme="8"/>
          <bgColor rgb="FFFFC000"/>
        </patternFill>
      </fill>
    </dxf>
    <dxf>
      <numFmt numFmtId="4" formatCode="#,##0.00"/>
    </dxf>
    <dxf>
      <numFmt numFmtId="4" formatCode="#,##0.0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39A4AE-AB8F-4E87-A4AC-F55E3BD3F65B}" name="tbl_escritorio_div" displayName="tbl_escritorio_div" ref="A2:D7" totalsRowShown="0" headerRowDxfId="10">
  <autoFilter ref="A2:D7" xr:uid="{CD209A14-2718-4036-9665-315850896A91}"/>
  <tableColumns count="4">
    <tableColumn id="1" xr3:uid="{3A1E6424-91E1-4A8D-A168-AD135ABAD074}" name="Produto"/>
    <tableColumn id="2" xr3:uid="{1C0440A4-53D4-4D50-9CF9-AC23EE7CC5B5}" name="Preço Unitário" dataDxfId="9"/>
    <tableColumn id="3" xr3:uid="{0778E032-F98D-4CA9-9ED7-535BC879E158}" name="Vendas Semestre" dataDxfId="8"/>
    <tableColumn id="4" xr3:uid="{CF9921AF-1844-43F8-BAB5-965D2C2879E2}" name="Qtd. Vendas" dataDxfId="1">
      <calculatedColumnFormula>tbl_escritorio_div[[#This Row],[Vendas Semestre]]/tbl_escritorio_div[[#This Row],[Preço Unitário]]</calculatedColumnFormula>
    </tableColumn>
  </tableColumns>
  <tableStyleInfo name="TableStyleMedium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F2DAA6-2B24-41C2-A1B6-27D30C5A6F42}" name="vendas_semestre" displayName="vendas_semestre" ref="F1:F2" totalsRowShown="0" headerRowDxfId="7" dataDxfId="6">
  <autoFilter ref="F1:F2" xr:uid="{CE38F1CA-4D82-4FAB-B7F5-AB0850A7C524}"/>
  <tableColumns count="1">
    <tableColumn id="1" xr3:uid="{DB3309A4-47F6-4DB7-B831-DF1CE37ACE66}" name="Total Vendas Semestre" dataDxfId="5">
      <calculatedColumnFormula>SUM(tbl_escritorio_div[Vendas Semestre])</calculatedColumnFormula>
    </tableColumn>
  </tableColumns>
  <tableStyleInfo name="TableStyleLight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D38F8EB-49F3-475F-81C4-5AC5573355D8}" name="meta_semestre" displayName="meta_semestre" ref="F4:F5" totalsRowShown="0" headerRowDxfId="4" dataDxfId="3">
  <autoFilter ref="F4:F5" xr:uid="{FB48C2BD-CAA1-4B58-95BF-F6F192BD788F}"/>
  <tableColumns count="1">
    <tableColumn id="1" xr3:uid="{1F230E3F-9CBD-4859-B9A7-6A6E3EAE879D}" name="Meta Vendas Semestre" dataDxfId="2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B177FE3-038D-4B6D-ACED-57116BDEF02F}" name="Tabela4" displayName="Tabela4" ref="J6:L10" totalsRowShown="0">
  <autoFilter ref="J6:L10" xr:uid="{4943A4BE-3B05-4789-B880-060109CE1ED5}"/>
  <tableColumns count="3">
    <tableColumn id="1" xr3:uid="{D356729A-F079-459E-99DD-C4B87E464C32}" name="Coluna1"/>
    <tableColumn id="2" xr3:uid="{35C254B4-138C-4045-9C28-B3D3ADCCBECD}" name="Coluna2"/>
    <tableColumn id="3" xr3:uid="{5DE275A3-4BB7-4A38-B0EE-A51219D442F0}" name="Coluna3" dataDxfId="0" dataCellStyle="Porcentagem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4CDD-281F-4C62-807F-53E4F6B3A017}">
  <dimension ref="A1:L20"/>
  <sheetViews>
    <sheetView tabSelected="1" workbookViewId="0">
      <selection activeCell="M13" sqref="M13"/>
    </sheetView>
  </sheetViews>
  <sheetFormatPr defaultRowHeight="15" x14ac:dyDescent="0.25"/>
  <cols>
    <col min="1" max="1" width="19.42578125" bestFit="1" customWidth="1"/>
    <col min="2" max="2" width="16.140625" bestFit="1" customWidth="1"/>
    <col min="3" max="3" width="18.85546875" bestFit="1" customWidth="1"/>
    <col min="4" max="4" width="14.140625" bestFit="1" customWidth="1"/>
    <col min="6" max="6" width="24.28515625" bestFit="1" customWidth="1"/>
    <col min="8" max="8" width="20" bestFit="1" customWidth="1"/>
    <col min="10" max="12" width="10.28515625" customWidth="1"/>
  </cols>
  <sheetData>
    <row r="1" spans="1:12" ht="18.75" x14ac:dyDescent="0.3">
      <c r="A1" s="1" t="s">
        <v>0</v>
      </c>
      <c r="B1" s="2"/>
      <c r="C1" s="2"/>
      <c r="D1" s="2"/>
      <c r="F1" s="3" t="s">
        <v>1</v>
      </c>
    </row>
    <row r="2" spans="1:12" ht="15.75" thickBot="1" x14ac:dyDescent="0.3">
      <c r="A2" s="4" t="s">
        <v>2</v>
      </c>
      <c r="B2" s="4" t="s">
        <v>3</v>
      </c>
      <c r="C2" s="4" t="s">
        <v>4</v>
      </c>
      <c r="D2" s="4" t="s">
        <v>5</v>
      </c>
      <c r="F2" s="5">
        <f>SUM(tbl_escritorio_div[Vendas Semestre])</f>
        <v>23600</v>
      </c>
      <c r="H2" s="6" t="s">
        <v>6</v>
      </c>
    </row>
    <row r="3" spans="1:12" x14ac:dyDescent="0.25">
      <c r="A3" t="s">
        <v>7</v>
      </c>
      <c r="B3" s="7">
        <v>17</v>
      </c>
      <c r="C3" s="7">
        <v>5400</v>
      </c>
      <c r="D3" s="8">
        <f>tbl_escritorio_div[[#This Row],[Vendas Semestre]]/tbl_escritorio_div[[#This Row],[Preço Unitário]]</f>
        <v>317.64705882352939</v>
      </c>
      <c r="H3" s="23">
        <f>vendas_semestre[Total Vendas Semestre]/meta_semestre[Meta Vendas Semestre]</f>
        <v>0.78666666666666663</v>
      </c>
    </row>
    <row r="4" spans="1:12" x14ac:dyDescent="0.25">
      <c r="A4" t="s">
        <v>8</v>
      </c>
      <c r="B4" s="7">
        <v>11</v>
      </c>
      <c r="C4" s="7">
        <v>2200</v>
      </c>
      <c r="D4" s="9">
        <f>tbl_escritorio_div[[#This Row],[Vendas Semestre]]/tbl_escritorio_div[[#This Row],[Preço Unitário]]</f>
        <v>200</v>
      </c>
      <c r="F4" s="3" t="s">
        <v>9</v>
      </c>
      <c r="H4" s="24"/>
    </row>
    <row r="5" spans="1:12" x14ac:dyDescent="0.25">
      <c r="A5" t="s">
        <v>10</v>
      </c>
      <c r="B5" s="7">
        <v>3</v>
      </c>
      <c r="C5" s="7">
        <v>3000</v>
      </c>
      <c r="D5" s="9">
        <f>tbl_escritorio_div[[#This Row],[Vendas Semestre]]/tbl_escritorio_div[[#This Row],[Preço Unitário]]</f>
        <v>1000</v>
      </c>
      <c r="F5" s="5">
        <v>30000</v>
      </c>
      <c r="H5" s="25"/>
    </row>
    <row r="6" spans="1:12" x14ac:dyDescent="0.25">
      <c r="A6" t="s">
        <v>11</v>
      </c>
      <c r="B6" s="7">
        <v>4</v>
      </c>
      <c r="C6" s="7">
        <v>2000</v>
      </c>
      <c r="D6" s="9">
        <f>tbl_escritorio_div[[#This Row],[Vendas Semestre]]/tbl_escritorio_div[[#This Row],[Preço Unitário]]</f>
        <v>500</v>
      </c>
      <c r="J6" t="s">
        <v>18</v>
      </c>
      <c r="K6" t="s">
        <v>19</v>
      </c>
      <c r="L6" s="26" t="s">
        <v>20</v>
      </c>
    </row>
    <row r="7" spans="1:12" ht="15.75" thickBot="1" x14ac:dyDescent="0.3">
      <c r="A7" t="s">
        <v>12</v>
      </c>
      <c r="B7" s="7">
        <v>15</v>
      </c>
      <c r="C7" s="7">
        <v>11000</v>
      </c>
      <c r="D7" s="10">
        <f>tbl_escritorio_div[[#This Row],[Vendas Semestre]]/tbl_escritorio_div[[#This Row],[Preço Unitário]]</f>
        <v>733.33333333333337</v>
      </c>
      <c r="J7" t="s">
        <v>14</v>
      </c>
      <c r="K7">
        <v>250</v>
      </c>
      <c r="L7" s="26">
        <f>K7/K10</f>
        <v>0.12315270935960591</v>
      </c>
    </row>
    <row r="8" spans="1:12" x14ac:dyDescent="0.25">
      <c r="J8" t="s">
        <v>15</v>
      </c>
      <c r="K8">
        <v>300</v>
      </c>
      <c r="L8" s="26">
        <f>K8/K10</f>
        <v>0.14778325123152711</v>
      </c>
    </row>
    <row r="9" spans="1:12" x14ac:dyDescent="0.25">
      <c r="J9" t="s">
        <v>16</v>
      </c>
      <c r="K9">
        <v>1480</v>
      </c>
      <c r="L9" s="26">
        <f>K9/K10</f>
        <v>0.72906403940886699</v>
      </c>
    </row>
    <row r="10" spans="1:12" ht="18.75" x14ac:dyDescent="0.3">
      <c r="A10" s="1" t="s">
        <v>0</v>
      </c>
      <c r="B10" s="2"/>
      <c r="C10" s="2"/>
      <c r="D10" s="2"/>
      <c r="F10" s="6" t="s">
        <v>1</v>
      </c>
      <c r="J10" t="s">
        <v>17</v>
      </c>
      <c r="K10">
        <f>SUM(K7:K9)</f>
        <v>2030</v>
      </c>
      <c r="L10" s="27">
        <f>SUM(L7:L9)</f>
        <v>1</v>
      </c>
    </row>
    <row r="11" spans="1:12" ht="15.75" thickBot="1" x14ac:dyDescent="0.3">
      <c r="A11" s="11" t="s">
        <v>2</v>
      </c>
      <c r="B11" s="12" t="s">
        <v>3</v>
      </c>
      <c r="C11" s="12" t="s">
        <v>13</v>
      </c>
      <c r="D11" s="13" t="s">
        <v>5</v>
      </c>
      <c r="F11" s="14">
        <f>SUM(tbl_escritorio_div[Vendas Semestre])</f>
        <v>23600</v>
      </c>
      <c r="H11" s="6" t="s">
        <v>6</v>
      </c>
    </row>
    <row r="12" spans="1:12" ht="16.5" thickTop="1" thickBot="1" x14ac:dyDescent="0.3">
      <c r="A12" s="15" t="s">
        <v>7</v>
      </c>
      <c r="B12" s="16">
        <v>17</v>
      </c>
      <c r="C12" s="17">
        <v>3400</v>
      </c>
      <c r="D12" s="18">
        <f>C12/B12</f>
        <v>200</v>
      </c>
      <c r="H12" s="23">
        <f>F11/F14</f>
        <v>0.78666666666666663</v>
      </c>
    </row>
    <row r="13" spans="1:12" ht="15.75" thickBot="1" x14ac:dyDescent="0.3">
      <c r="A13" s="19" t="s">
        <v>8</v>
      </c>
      <c r="B13" s="20">
        <v>11</v>
      </c>
      <c r="C13" s="21">
        <v>2200</v>
      </c>
      <c r="D13" s="18">
        <f t="shared" ref="D13:D16" si="0">C13/B13</f>
        <v>200</v>
      </c>
      <c r="F13" s="6" t="s">
        <v>9</v>
      </c>
      <c r="H13" s="24"/>
    </row>
    <row r="14" spans="1:12" ht="15.75" thickBot="1" x14ac:dyDescent="0.3">
      <c r="A14" s="15" t="s">
        <v>10</v>
      </c>
      <c r="B14" s="16">
        <v>3</v>
      </c>
      <c r="C14" s="17">
        <v>3000</v>
      </c>
      <c r="D14" s="18">
        <f t="shared" si="0"/>
        <v>1000</v>
      </c>
      <c r="F14" s="14">
        <v>30000</v>
      </c>
      <c r="H14" s="25"/>
    </row>
    <row r="15" spans="1:12" ht="15.75" thickBot="1" x14ac:dyDescent="0.3">
      <c r="A15" s="19" t="s">
        <v>11</v>
      </c>
      <c r="B15" s="20">
        <v>2</v>
      </c>
      <c r="C15" s="21">
        <v>2000</v>
      </c>
      <c r="D15" s="18">
        <f t="shared" si="0"/>
        <v>1000</v>
      </c>
    </row>
    <row r="16" spans="1:12" x14ac:dyDescent="0.25">
      <c r="A16" s="15" t="s">
        <v>12</v>
      </c>
      <c r="B16" s="16">
        <v>10</v>
      </c>
      <c r="C16" s="17">
        <v>11000</v>
      </c>
      <c r="D16" s="18">
        <f t="shared" si="0"/>
        <v>1100</v>
      </c>
    </row>
    <row r="20" spans="6:6" x14ac:dyDescent="0.25">
      <c r="F20" s="22"/>
    </row>
  </sheetData>
  <mergeCells count="2">
    <mergeCell ref="H3:H5"/>
    <mergeCell ref="H12:H14"/>
  </mergeCells>
  <pageMargins left="0.511811024" right="0.511811024" top="0.78740157499999996" bottom="0.78740157499999996" header="0.31496062000000002" footer="0.31496062000000002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Lucas Silva da Luz</dc:creator>
  <cp:lastModifiedBy>RICARDO LEITE DA SILVA ROCHA</cp:lastModifiedBy>
  <dcterms:created xsi:type="dcterms:W3CDTF">2025-11-05T00:04:03Z</dcterms:created>
  <dcterms:modified xsi:type="dcterms:W3CDTF">2025-11-05T23:22:43Z</dcterms:modified>
</cp:coreProperties>
</file>