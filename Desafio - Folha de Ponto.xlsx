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338739409\Desktop\Excel Basico\"/>
    </mc:Choice>
  </mc:AlternateContent>
  <xr:revisionPtr revIDLastSave="0" documentId="8_{BF237736-60A1-44E3-8395-C948E34309A6}" xr6:coauthVersionLast="36" xr6:coauthVersionMax="36" xr10:uidLastSave="{00000000-0000-0000-0000-000000000000}"/>
  <bookViews>
    <workbookView xWindow="0" yWindow="0" windowWidth="20490" windowHeight="7545" xr2:uid="{81F0F69E-6FE7-4AD7-A3A5-8B03CDED37E2}"/>
  </bookViews>
  <sheets>
    <sheet name="Desafio - Folha de Pon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" i="1" l="1"/>
  <c r="K2" i="1"/>
  <c r="J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 l="1"/>
</calcChain>
</file>

<file path=xl/sharedStrings.xml><?xml version="1.0" encoding="utf-8"?>
<sst xmlns="http://schemas.openxmlformats.org/spreadsheetml/2006/main" count="11" uniqueCount="10">
  <si>
    <t>Data</t>
  </si>
  <si>
    <t>Entrada Manhã</t>
  </si>
  <si>
    <t>Saída Manhã</t>
  </si>
  <si>
    <t>Entrada Tarde</t>
  </si>
  <si>
    <t>Saída Tarde</t>
  </si>
  <si>
    <t>Duração</t>
  </si>
  <si>
    <t>Total em Horas</t>
  </si>
  <si>
    <t>Total em Decimal</t>
  </si>
  <si>
    <t>Valor/hora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</si>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</sst>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d\ dd/mmm/yyyy"/>
    <numFmt numFmtId="165" formatCode="[hh]:mm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  <xf numFmtId="20" fontId="0" fillId="0" borderId="0" xfId="0" applyNumberFormat="1"/>
    <xf numFmtId="165" fontId="0" fillId="0" borderId="1" xfId="0" applyNumberFormat="1" applyBorder="1"/>
    <xf numFmtId="43" fontId="0" fillId="0" borderId="3" xfId="1" applyFont="1" applyBorder="1"/>
    <xf numFmtId="44" fontId="0" fillId="0" borderId="3" xfId="2" applyFont="1" applyBorder="1"/>
    <xf numFmtId="44" fontId="0" fillId="0" borderId="4" xfId="2" applyFont="1" applyBorder="1"/>
    <xf numFmtId="165" fontId="0" fillId="0" borderId="5" xfId="0" applyNumberFormat="1" applyBorder="1"/>
    <xf numFmtId="165" fontId="0" fillId="0" borderId="6" xfId="0" applyNumberFormat="1" applyBorder="1"/>
    <xf numFmtId="165" fontId="0" fillId="0" borderId="0" xfId="0" applyNumberFormat="1"/>
    <xf numFmtId="0" fontId="2" fillId="0" borderId="0" xfId="0" applyFont="1"/>
    <xf numFmtId="0" fontId="0" fillId="0" borderId="2" xfId="0" applyNumberFormat="1" applyBorder="1"/>
  </cellXfs>
  <cellStyles count="3">
    <cellStyle name="Moeda" xfId="2" builtinId="4"/>
    <cellStyle name="Normal" xfId="0" builtinId="0"/>
    <cellStyle name="Vírgula" xfId="1" builtinId="3"/>
  </cellStyles>
  <dxfs count="7">
    <dxf>
      <numFmt numFmtId="165" formatCode="[hh]:mm"/>
    </dxf>
    <dxf>
      <numFmt numFmtId="165" formatCode="[hh]:mm"/>
      <border diagonalUp="0" diagonalDown="0">
        <left style="thick">
          <color rgb="FFFF0000"/>
        </left>
        <right style="thick">
          <color rgb="FFFF0000"/>
        </right>
        <top/>
        <bottom/>
        <vertical/>
        <horizontal/>
      </border>
    </dxf>
    <dxf>
      <numFmt numFmtId="164" formatCode="ddd\ dd/mmm/yyyy"/>
    </dxf>
    <dxf>
      <alignment horizontal="general" vertical="center" textRotation="0" wrapText="1" indent="0" justifyLastLine="0" shrinkToFit="0" readingOrder="0"/>
    </dxf>
    <dxf>
      <border diagonalUp="0" diagonalDown="0">
        <left/>
        <right style="thick">
          <color rgb="FFFF0000"/>
        </right>
        <top/>
        <bottom/>
        <vertical/>
        <horizontal/>
      </border>
    </dxf>
    <dxf>
      <numFmt numFmtId="0" formatCode="General"/>
      <border diagonalUp="0" diagonalDown="0" outline="0">
        <left style="thick">
          <color rgb="FFFF0000"/>
        </left>
        <right/>
        <top/>
        <bottom/>
      </border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322490</xdr:colOff>
      <xdr:row>3</xdr:row>
      <xdr:rowOff>19050</xdr:rowOff>
    </xdr:from>
    <xdr:to>
      <xdr:col>17</xdr:col>
      <xdr:colOff>36739</xdr:colOff>
      <xdr:row>19</xdr:row>
      <xdr:rowOff>9525</xdr:rowOff>
    </xdr:to>
    <xdr:grpSp>
      <xdr:nvGrpSpPr>
        <xdr:cNvPr id="2" name="Grupo 12">
          <a:extLst>
            <a:ext uri="{FF2B5EF4-FFF2-40B4-BE49-F238E27FC236}">
              <a16:creationId xmlns:a16="http://schemas.microsoft.com/office/drawing/2014/main" id="{AB6481B6-EF23-4F40-88D9-51943729B44E}"/>
            </a:ext>
          </a:extLst>
        </xdr:cNvPr>
        <xdr:cNvGrpSpPr/>
      </xdr:nvGrpSpPr>
      <xdr:grpSpPr>
        <a:xfrm>
          <a:off x="5153026" y="821871"/>
          <a:ext cx="7497534" cy="3038475"/>
          <a:chOff x="4657726" y="1104900"/>
          <a:chExt cx="6848474" cy="3038475"/>
        </a:xfrm>
        <a:effectLst>
          <a:reflection blurRad="6350" stA="36000" endPos="35000" dir="5400000" sy="-100000" algn="bl" rotWithShape="0"/>
        </a:effectLst>
      </xdr:grpSpPr>
      <xdr:sp macro="" textlink="">
        <xdr:nvSpPr>
          <xdr:cNvPr id="3" name="CaixaDeTexto 2">
            <a:extLst>
              <a:ext uri="{FF2B5EF4-FFF2-40B4-BE49-F238E27FC236}">
                <a16:creationId xmlns:a16="http://schemas.microsoft.com/office/drawing/2014/main" id="{648C1254-A726-4FCC-BE26-915BECF0690F}"/>
              </a:ext>
            </a:extLst>
          </xdr:cNvPr>
          <xdr:cNvSpPr txBox="1"/>
        </xdr:nvSpPr>
        <xdr:spPr>
          <a:xfrm>
            <a:off x="4657726" y="1104900"/>
            <a:ext cx="6848474" cy="3038475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pt-BR" sz="1100" b="1" u="none">
                <a:solidFill>
                  <a:schemeClr val="bg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DURAÇÃO</a:t>
            </a:r>
          </a:p>
          <a:p>
            <a:r>
              <a:rPr lang="pt-BR" sz="1000">
                <a:solidFill>
                  <a:schemeClr val="bg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Calcule as horas diárias trabalhadas.</a:t>
            </a:r>
          </a:p>
          <a:p>
            <a:endParaRPr lang="pt-BR" sz="100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100" b="1" i="0" u="none" strike="noStrike">
                <a:solidFill>
                  <a:schemeClr val="bg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TOTAL EM </a:t>
            </a:r>
            <a:r>
              <a:rPr lang="pt-BR" sz="1100" b="1" u="none">
                <a:solidFill>
                  <a:schemeClr val="bg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HORAS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000">
                <a:solidFill>
                  <a:schemeClr val="bg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Calcule a soma das durações.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pt-BR" sz="1000">
              <a:solidFill>
                <a:schemeClr val="bg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100" b="1" i="0" u="none" strike="noStrike">
                <a:solidFill>
                  <a:schemeClr val="bg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TOTAL EM DECIMAL</a:t>
            </a:r>
            <a:endParaRPr lang="pt-BR" sz="1100" b="0" i="0" u="none" strike="noStrike">
              <a:solidFill>
                <a:schemeClr val="bg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000">
                <a:solidFill>
                  <a:schemeClr val="bg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Calcule </a:t>
            </a:r>
            <a:r>
              <a:rPr lang="pt-BR" sz="1000" b="1" i="0">
                <a:solidFill>
                  <a:schemeClr val="bg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Total em Horas *</a:t>
            </a:r>
            <a:r>
              <a:rPr lang="pt-BR" sz="1000" b="1" i="0" baseline="0">
                <a:solidFill>
                  <a:schemeClr val="bg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24</a:t>
            </a:r>
            <a:r>
              <a:rPr lang="pt-BR" sz="1000">
                <a:solidFill>
                  <a:schemeClr val="bg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.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pt-BR" sz="1000">
              <a:solidFill>
                <a:schemeClr val="bg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100" b="1" i="0" u="none" strike="noStrike">
                <a:solidFill>
                  <a:schemeClr val="bg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VALOR/HORA</a:t>
            </a:r>
            <a:r>
              <a:rPr lang="pt-BR" sz="1100" u="none">
                <a:solidFill>
                  <a:schemeClr val="bg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000">
                <a:solidFill>
                  <a:schemeClr val="bg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R$ 50,00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pt-BR" sz="1000">
              <a:solidFill>
                <a:schemeClr val="bg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100" b="1" i="0" u="none" strike="noStrike">
                <a:solidFill>
                  <a:schemeClr val="bg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TOTAL</a:t>
            </a:r>
            <a:r>
              <a:rPr lang="pt-BR" sz="1100" u="none">
                <a:solidFill>
                  <a:schemeClr val="bg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000">
                <a:solidFill>
                  <a:schemeClr val="bg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Calcule </a:t>
            </a:r>
            <a:r>
              <a:rPr lang="pt-BR" sz="1000" b="1" i="0">
                <a:solidFill>
                  <a:schemeClr val="bg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Total em </a:t>
            </a:r>
            <a:r>
              <a:rPr lang="pt-BR" sz="1000" b="1" i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Decimal</a:t>
            </a:r>
            <a:r>
              <a:rPr lang="pt-BR" sz="1000" b="0" i="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* </a:t>
            </a:r>
            <a:r>
              <a:rPr lang="pt-BR" sz="1000" b="1" i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Valor/hora</a:t>
            </a:r>
            <a:r>
              <a:rPr lang="pt-BR" sz="100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.</a:t>
            </a:r>
            <a:endParaRPr lang="pt-BR" sz="100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pic>
        <xdr:nvPicPr>
          <xdr:cNvPr id="4" name="Imagem 3">
            <a:extLst>
              <a:ext uri="{FF2B5EF4-FFF2-40B4-BE49-F238E27FC236}">
                <a16:creationId xmlns:a16="http://schemas.microsoft.com/office/drawing/2014/main" id="{E2219289-0512-4503-BE16-6FBA402FEB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143750" y="1733550"/>
            <a:ext cx="4133333" cy="1371429"/>
          </a:xfrm>
          <a:prstGeom prst="rect">
            <a:avLst/>
          </a:prstGeom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8F0E194C-2CE4-46E6-9A94-4318B89E8F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115300" y="3276600"/>
            <a:ext cx="3142857" cy="609524"/>
          </a:xfrm>
          <a:prstGeom prst="rect">
            <a:avLst/>
          </a:prstGeom>
        </xdr:spPr>
      </xdr:pic>
    </xdr:grpSp>
    <xdr:clientData/>
  </xdr:twoCellAnchor>
  <xdr:twoCellAnchor>
    <xdr:from>
      <xdr:col>17</xdr:col>
      <xdr:colOff>217713</xdr:colOff>
      <xdr:row>5</xdr:row>
      <xdr:rowOff>163286</xdr:rowOff>
    </xdr:from>
    <xdr:to>
      <xdr:col>27</xdr:col>
      <xdr:colOff>122464</xdr:colOff>
      <xdr:row>33</xdr:row>
      <xdr:rowOff>40821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36EB0F85-F076-428B-B9F5-846F2F39E5BD}"/>
            </a:ext>
          </a:extLst>
        </xdr:cNvPr>
        <xdr:cNvSpPr txBox="1"/>
      </xdr:nvSpPr>
      <xdr:spPr>
        <a:xfrm>
          <a:off x="12831534" y="1347107"/>
          <a:ext cx="6027966" cy="5238750"/>
        </a:xfrm>
        <a:prstGeom prst="rect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pt-BR" sz="2400">
              <a:solidFill>
                <a:schemeClr val="tx1"/>
              </a:solidFill>
            </a:rPr>
            <a:t>=[@[Saída Tarde]]-[@[Entrada Manhã]]-([@[Entrada Tarde]]-[@[Saída Manhã]])</a:t>
          </a:r>
        </a:p>
        <a:p>
          <a:endParaRPr lang="pt-BR" sz="2400">
            <a:solidFill>
              <a:schemeClr val="tx1"/>
            </a:solidFill>
          </a:endParaRPr>
        </a:p>
        <a:p>
          <a:r>
            <a:rPr lang="pt-BR" sz="2400">
              <a:solidFill>
                <a:schemeClr val="tx1"/>
              </a:solidFill>
            </a:rPr>
            <a:t>=saida-tarde-entrada-manhã(entrada</a:t>
          </a:r>
          <a:r>
            <a:rPr lang="pt-BR" sz="2400" baseline="0">
              <a:solidFill>
                <a:schemeClr val="tx1"/>
              </a:solidFill>
            </a:rPr>
            <a:t>-da-tarde-Saida-da-Manhã)</a:t>
          </a:r>
        </a:p>
        <a:p>
          <a:endParaRPr lang="pt-BR" sz="2400" baseline="0">
            <a:solidFill>
              <a:schemeClr val="tx1"/>
            </a:solidFill>
          </a:endParaRPr>
        </a:p>
        <a:p>
          <a:r>
            <a:rPr lang="pt-BR" sz="2400" baseline="0">
              <a:solidFill>
                <a:schemeClr val="tx1"/>
              </a:solidFill>
            </a:rPr>
            <a:t>pegar total de horas:decimal hora*24</a:t>
          </a:r>
        </a:p>
        <a:p>
          <a:r>
            <a:rPr lang="pt-BR" sz="2400" baseline="0">
              <a:solidFill>
                <a:schemeClr val="tx1"/>
              </a:solidFill>
            </a:rPr>
            <a:t>Valor hora</a:t>
          </a:r>
        </a:p>
        <a:p>
          <a:r>
            <a:rPr lang="pt-BR" sz="2400" baseline="0">
              <a:solidFill>
                <a:schemeClr val="tx1"/>
              </a:solidFill>
            </a:rPr>
            <a:t>Total decimal*Valor Hora</a:t>
          </a:r>
        </a:p>
        <a:p>
          <a:r>
            <a:rPr lang="pt-BR" sz="2400" baseline="0">
              <a:solidFill>
                <a:schemeClr val="tx1"/>
              </a:solidFill>
            </a:rPr>
            <a:t>vai dar o total R$ 8.506.68</a:t>
          </a:r>
        </a:p>
        <a:p>
          <a:endParaRPr lang="pt-BR" sz="2400" baseline="0">
            <a:solidFill>
              <a:schemeClr val="tx1"/>
            </a:solidFill>
          </a:endParaRPr>
        </a:p>
        <a:p>
          <a:endParaRPr lang="pt-BR" sz="2400" baseline="0">
            <a:solidFill>
              <a:schemeClr val="tx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F9D89C-203E-406F-A09F-D20674A0425F}" name="Tabela973" displayName="Tabela973" ref="J1:M2" totalsRowShown="0" headerRowDxfId="6">
  <autoFilter ref="J1:M2" xr:uid="{05F9D89C-203E-406F-A09F-D20674A0425F}"/>
  <tableColumns count="4">
    <tableColumn id="1" xr3:uid="{5E372CD6-000A-42CB-A33E-A6BCDC07C93C}" name="Total em Horas" dataDxfId="5">
      <calculatedColumnFormula>FolhaDeHoras48[[#Totals],[Duração]]</calculatedColumnFormula>
    </tableColumn>
    <tableColumn id="2" xr3:uid="{CC878C65-39BC-4AA4-B7C2-BE07F09FF17E}" name="Total em Decimal" dataCellStyle="Vírgula">
      <calculatedColumnFormula>Tabela973[Total em Horas]*24</calculatedColumnFormula>
    </tableColumn>
    <tableColumn id="3" xr3:uid="{BD77A447-B7D5-4194-BC8A-826875E697C3}" name="Valor/hora" dataCellStyle="Moeda"/>
    <tableColumn id="4" xr3:uid="{BE7D46B4-30D8-4233-A2E8-D32308170236}" name="Total" dataDxfId="4" dataCellStyle="Moeda">
      <calculatedColumnFormula>Tabela973[Total em Decimal]*Tabela973[Valor/hora]</calculatedColumnFormula>
    </tableColumn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F9EB18-A00A-4B30-85C1-EAD69AE05595}" name="FolhaDeHoras48" displayName="FolhaDeHoras48" ref="A1:F30" totalsRowCount="1" headerRowDxfId="3">
  <autoFilter ref="A1:F29" xr:uid="{E0F9EB18-A00A-4B30-85C1-EAD69AE05595}"/>
  <tableColumns count="6">
    <tableColumn id="1" xr3:uid="{BA5E0DE8-3550-4E3D-B208-C61B31B712B2}" name="Data" totalsRowLabel="Total" dataDxfId="2"/>
    <tableColumn id="2" xr3:uid="{B085C49A-8289-4DC3-B69E-6F1FAA809FAD}" name="Entrada Manhã"/>
    <tableColumn id="3" xr3:uid="{B410A5B9-C864-40FF-A1D2-6725A9CDEFF5}" name="Saída Manhã"/>
    <tableColumn id="4" xr3:uid="{0040BD96-E1E7-42BA-B059-4CFBB34CE884}" name="Entrada Tarde"/>
    <tableColumn id="5" xr3:uid="{66A1A817-983A-4DAB-B55E-BA5FF70FD8A4}" name="Saída Tarde"/>
    <tableColumn id="6" xr3:uid="{59D340FA-C544-40DE-B929-B7F90BF38E8D}" name="Duração" totalsRowFunction="sum" dataDxfId="1" totalsRowDxfId="0">
      <calculatedColumnFormula>FolhaDeHoras48[[#This Row],[Saída Tarde]]-FolhaDeHoras48[[#This Row],[Entrada Manhã]]-(FolhaDeHoras48[[#This Row],[Entrada Tarde]]-FolhaDeHoras48[[#This Row],[Saída Manhã]])</calculatedColumnFormula>
    </tableColumn>
  </tableColumns>
  <tableStyleInfo name="TableStyleMedium14" showFirstColumn="1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55DD-F6E6-48E2-BA21-442358A977C4}">
  <dimension ref="A1:U30"/>
  <sheetViews>
    <sheetView tabSelected="1" topLeftCell="B1" zoomScale="70" zoomScaleNormal="70" workbookViewId="0">
      <selection activeCell="M3" sqref="M3"/>
    </sheetView>
  </sheetViews>
  <sheetFormatPr defaultRowHeight="15" x14ac:dyDescent="0.25"/>
  <cols>
    <col min="1" max="1" width="16.85546875" customWidth="1"/>
    <col min="2" max="2" width="10.85546875" bestFit="1" customWidth="1"/>
    <col min="3" max="3" width="10.140625" bestFit="1" customWidth="1"/>
    <col min="4" max="4" width="10.85546875" bestFit="1" customWidth="1"/>
    <col min="5" max="5" width="9.140625" bestFit="1" customWidth="1"/>
    <col min="6" max="6" width="14.42578125" customWidth="1"/>
    <col min="10" max="11" width="11.85546875" bestFit="1" customWidth="1"/>
    <col min="12" max="12" width="13.7109375" bestFit="1" customWidth="1"/>
    <col min="13" max="13" width="15" bestFit="1" customWidth="1"/>
  </cols>
  <sheetData>
    <row r="1" spans="1:13" ht="3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J1" s="2" t="s">
        <v>6</v>
      </c>
      <c r="K1" s="2" t="s">
        <v>7</v>
      </c>
      <c r="L1" s="2" t="s">
        <v>8</v>
      </c>
      <c r="M1" s="2" t="s">
        <v>9</v>
      </c>
    </row>
    <row r="2" spans="1:13" ht="16.5" thickTop="1" thickBot="1" x14ac:dyDescent="0.3">
      <c r="A2" s="3">
        <v>43497</v>
      </c>
      <c r="B2" s="4">
        <v>0.375</v>
      </c>
      <c r="C2" s="4">
        <v>0.5</v>
      </c>
      <c r="D2" s="4">
        <v>0.54166666666666663</v>
      </c>
      <c r="E2" s="4">
        <v>0.75</v>
      </c>
      <c r="F2" s="5">
        <f>FolhaDeHoras48[[#This Row],[Saída Tarde]]-FolhaDeHoras48[[#This Row],[Entrada Manhã]]-(FolhaDeHoras48[[#This Row],[Entrada Tarde]]-FolhaDeHoras48[[#This Row],[Saída Manhã]])</f>
        <v>0.33333333333333337</v>
      </c>
      <c r="J2" s="13">
        <f>FolhaDeHoras48[[#Totals],[Duração]]</f>
        <v>7.0889004629629619</v>
      </c>
      <c r="K2" s="6">
        <f>Tabela973[Total em Horas]*24</f>
        <v>170.13361111111109</v>
      </c>
      <c r="L2" s="7">
        <v>50</v>
      </c>
      <c r="M2" s="8">
        <f>Tabela973[Total em Decimal]*Tabela973[Valor/hora]</f>
        <v>8506.6805555555547</v>
      </c>
    </row>
    <row r="3" spans="1:13" ht="15.75" thickTop="1" x14ac:dyDescent="0.25">
      <c r="A3" s="3">
        <v>43498</v>
      </c>
      <c r="F3" s="9">
        <f>FolhaDeHoras48[[#This Row],[Saída Tarde]]-FolhaDeHoras48[[#This Row],[Entrada Manhã]]-(FolhaDeHoras48[[#This Row],[Entrada Tarde]]-FolhaDeHoras48[[#This Row],[Saída Manhã]])</f>
        <v>0</v>
      </c>
    </row>
    <row r="4" spans="1:13" x14ac:dyDescent="0.25">
      <c r="A4" s="3">
        <v>43499</v>
      </c>
      <c r="F4" s="9">
        <f>FolhaDeHoras48[[#This Row],[Saída Tarde]]-FolhaDeHoras48[[#This Row],[Entrada Manhã]]-(FolhaDeHoras48[[#This Row],[Entrada Tarde]]-FolhaDeHoras48[[#This Row],[Saída Manhã]])</f>
        <v>0</v>
      </c>
    </row>
    <row r="5" spans="1:13" x14ac:dyDescent="0.25">
      <c r="A5" s="3">
        <v>43500</v>
      </c>
      <c r="B5" s="4">
        <v>0.26815972222222223</v>
      </c>
      <c r="C5" s="4">
        <v>0.50718750000000001</v>
      </c>
      <c r="D5" s="4">
        <v>0.54630787037037043</v>
      </c>
      <c r="E5" s="4">
        <v>0.70981481481481479</v>
      </c>
      <c r="F5" s="9">
        <f>FolhaDeHoras48[[#This Row],[Saída Tarde]]-FolhaDeHoras48[[#This Row],[Entrada Manhã]]-(FolhaDeHoras48[[#This Row],[Entrada Tarde]]-FolhaDeHoras48[[#This Row],[Saída Manhã]])</f>
        <v>0.40253472222222214</v>
      </c>
    </row>
    <row r="6" spans="1:13" x14ac:dyDescent="0.25">
      <c r="A6" s="3">
        <v>43501</v>
      </c>
      <c r="B6" s="4">
        <v>0.32984953703703707</v>
      </c>
      <c r="C6" s="4">
        <v>0.56755787037037042</v>
      </c>
      <c r="D6" s="4">
        <v>0.6174074074074074</v>
      </c>
      <c r="E6" s="4">
        <v>0.70208333333333339</v>
      </c>
      <c r="F6" s="9">
        <f>FolhaDeHoras48[[#This Row],[Saída Tarde]]-FolhaDeHoras48[[#This Row],[Entrada Manhã]]-(FolhaDeHoras48[[#This Row],[Entrada Tarde]]-FolhaDeHoras48[[#This Row],[Saída Manhã]])</f>
        <v>0.32238425925925934</v>
      </c>
    </row>
    <row r="7" spans="1:13" x14ac:dyDescent="0.25">
      <c r="A7" s="3">
        <v>43502</v>
      </c>
      <c r="B7" s="4">
        <v>0.45288194444444446</v>
      </c>
      <c r="C7" s="4">
        <v>0.54689814814814819</v>
      </c>
      <c r="D7" s="4">
        <v>0.57200231481481478</v>
      </c>
      <c r="E7" s="4">
        <v>0.80815972222222221</v>
      </c>
      <c r="F7" s="9">
        <f>FolhaDeHoras48[[#This Row],[Saída Tarde]]-FolhaDeHoras48[[#This Row],[Entrada Manhã]]-(FolhaDeHoras48[[#This Row],[Entrada Tarde]]-FolhaDeHoras48[[#This Row],[Saída Manhã]])</f>
        <v>0.33017361111111115</v>
      </c>
    </row>
    <row r="8" spans="1:13" x14ac:dyDescent="0.25">
      <c r="A8" s="3">
        <v>43503</v>
      </c>
      <c r="B8" s="4">
        <v>0.35268518518518516</v>
      </c>
      <c r="C8" s="4">
        <v>0.46957175925925926</v>
      </c>
      <c r="D8" s="4">
        <v>0.54341435185185183</v>
      </c>
      <c r="E8" s="4">
        <v>0.69321759259259252</v>
      </c>
      <c r="F8" s="9">
        <f>FolhaDeHoras48[[#This Row],[Saída Tarde]]-FolhaDeHoras48[[#This Row],[Entrada Manhã]]-(FolhaDeHoras48[[#This Row],[Entrada Tarde]]-FolhaDeHoras48[[#This Row],[Saída Manhã]])</f>
        <v>0.2666898148148148</v>
      </c>
    </row>
    <row r="9" spans="1:13" x14ac:dyDescent="0.25">
      <c r="A9" s="3">
        <v>43504</v>
      </c>
      <c r="B9" s="4">
        <v>0.41846064814814815</v>
      </c>
      <c r="C9" s="4">
        <v>0.56824074074074071</v>
      </c>
      <c r="D9" s="4">
        <v>0.62366898148148142</v>
      </c>
      <c r="E9" s="4">
        <v>0.74914351851851846</v>
      </c>
      <c r="F9" s="9">
        <f>FolhaDeHoras48[[#This Row],[Saída Tarde]]-FolhaDeHoras48[[#This Row],[Entrada Manhã]]-(FolhaDeHoras48[[#This Row],[Entrada Tarde]]-FolhaDeHoras48[[#This Row],[Saída Manhã]])</f>
        <v>0.2752546296296296</v>
      </c>
    </row>
    <row r="10" spans="1:13" x14ac:dyDescent="0.25">
      <c r="A10" s="3">
        <v>43505</v>
      </c>
      <c r="F10" s="9">
        <f>FolhaDeHoras48[[#This Row],[Saída Tarde]]-FolhaDeHoras48[[#This Row],[Entrada Manhã]]-(FolhaDeHoras48[[#This Row],[Entrada Tarde]]-FolhaDeHoras48[[#This Row],[Saída Manhã]])</f>
        <v>0</v>
      </c>
    </row>
    <row r="11" spans="1:13" x14ac:dyDescent="0.25">
      <c r="A11" s="3">
        <v>43506</v>
      </c>
      <c r="F11" s="9">
        <f>FolhaDeHoras48[[#This Row],[Saída Tarde]]-FolhaDeHoras48[[#This Row],[Entrada Manhã]]-(FolhaDeHoras48[[#This Row],[Entrada Tarde]]-FolhaDeHoras48[[#This Row],[Saída Manhã]])</f>
        <v>0</v>
      </c>
    </row>
    <row r="12" spans="1:13" x14ac:dyDescent="0.25">
      <c r="A12" s="3">
        <v>43507</v>
      </c>
      <c r="B12" s="4">
        <v>0.4012384259259259</v>
      </c>
      <c r="C12" s="4">
        <v>0.55546296296296294</v>
      </c>
      <c r="D12" s="4">
        <v>0.60640046296296291</v>
      </c>
      <c r="E12" s="4">
        <v>0.84766203703703702</v>
      </c>
      <c r="F12" s="9">
        <f>FolhaDeHoras48[[#This Row],[Saída Tarde]]-FolhaDeHoras48[[#This Row],[Entrada Manhã]]-(FolhaDeHoras48[[#This Row],[Entrada Tarde]]-FolhaDeHoras48[[#This Row],[Saída Manhã]])</f>
        <v>0.39548611111111115</v>
      </c>
    </row>
    <row r="13" spans="1:13" x14ac:dyDescent="0.25">
      <c r="A13" s="3">
        <v>43508</v>
      </c>
      <c r="B13" s="4">
        <v>0.37684027777777779</v>
      </c>
      <c r="C13" s="4">
        <v>0.50307870370370367</v>
      </c>
      <c r="D13" s="4">
        <v>0.57094907407407403</v>
      </c>
      <c r="E13" s="4">
        <v>0.76650462962962962</v>
      </c>
      <c r="F13" s="9">
        <f>FolhaDeHoras48[[#This Row],[Saída Tarde]]-FolhaDeHoras48[[#This Row],[Entrada Manhã]]-(FolhaDeHoras48[[#This Row],[Entrada Tarde]]-FolhaDeHoras48[[#This Row],[Saída Manhã]])</f>
        <v>0.32179398148148147</v>
      </c>
    </row>
    <row r="14" spans="1:13" x14ac:dyDescent="0.25">
      <c r="A14" s="3">
        <v>43509</v>
      </c>
      <c r="B14" s="4">
        <v>0.35114583333333332</v>
      </c>
      <c r="C14" s="4">
        <v>0.52214120370370376</v>
      </c>
      <c r="D14" s="4">
        <v>0.62099537037037034</v>
      </c>
      <c r="E14" s="4">
        <v>0.8273032407407408</v>
      </c>
      <c r="F14" s="9">
        <f>FolhaDeHoras48[[#This Row],[Saída Tarde]]-FolhaDeHoras48[[#This Row],[Entrada Manhã]]-(FolhaDeHoras48[[#This Row],[Entrada Tarde]]-FolhaDeHoras48[[#This Row],[Saída Manhã]])</f>
        <v>0.3773032407407409</v>
      </c>
    </row>
    <row r="15" spans="1:13" x14ac:dyDescent="0.25">
      <c r="A15" s="3">
        <v>43510</v>
      </c>
      <c r="B15" s="4">
        <v>0.263587962962963</v>
      </c>
      <c r="C15" s="4">
        <v>0.57810185185185181</v>
      </c>
      <c r="D15" s="4">
        <v>0.63056712962962957</v>
      </c>
      <c r="E15" s="4">
        <v>0.79456018518518512</v>
      </c>
      <c r="F15" s="9">
        <f>FolhaDeHoras48[[#This Row],[Saída Tarde]]-FolhaDeHoras48[[#This Row],[Entrada Manhã]]-(FolhaDeHoras48[[#This Row],[Entrada Tarde]]-FolhaDeHoras48[[#This Row],[Saída Manhã]])</f>
        <v>0.47850694444444442</v>
      </c>
    </row>
    <row r="16" spans="1:13" x14ac:dyDescent="0.25">
      <c r="A16" s="3">
        <v>43511</v>
      </c>
      <c r="B16" s="4">
        <v>0.29317129629629629</v>
      </c>
      <c r="C16" s="4">
        <v>0.45900462962962968</v>
      </c>
      <c r="D16" s="4">
        <v>0.60037037037037033</v>
      </c>
      <c r="E16" s="4">
        <v>0.85578703703703696</v>
      </c>
      <c r="F16" s="9">
        <f>FolhaDeHoras48[[#This Row],[Saída Tarde]]-FolhaDeHoras48[[#This Row],[Entrada Manhã]]-(FolhaDeHoras48[[#This Row],[Entrada Tarde]]-FolhaDeHoras48[[#This Row],[Saída Manhã]])</f>
        <v>0.42124999999999996</v>
      </c>
    </row>
    <row r="17" spans="1:21" x14ac:dyDescent="0.25">
      <c r="A17" s="3">
        <v>43512</v>
      </c>
      <c r="F17" s="9">
        <f>FolhaDeHoras48[[#This Row],[Saída Tarde]]-FolhaDeHoras48[[#This Row],[Entrada Manhã]]-(FolhaDeHoras48[[#This Row],[Entrada Tarde]]-FolhaDeHoras48[[#This Row],[Saída Manhã]])</f>
        <v>0</v>
      </c>
    </row>
    <row r="18" spans="1:21" x14ac:dyDescent="0.25">
      <c r="A18" s="3">
        <v>43513</v>
      </c>
      <c r="F18" s="9">
        <f>FolhaDeHoras48[[#This Row],[Saída Tarde]]-FolhaDeHoras48[[#This Row],[Entrada Manhã]]-(FolhaDeHoras48[[#This Row],[Entrada Tarde]]-FolhaDeHoras48[[#This Row],[Saída Manhã]])</f>
        <v>0</v>
      </c>
    </row>
    <row r="19" spans="1:21" x14ac:dyDescent="0.25">
      <c r="A19" s="3">
        <v>43514</v>
      </c>
      <c r="B19" s="4">
        <v>0.41846064814814815</v>
      </c>
      <c r="C19" s="4">
        <v>0.56824074074074071</v>
      </c>
      <c r="D19" s="4">
        <v>0.62366898148148142</v>
      </c>
      <c r="E19" s="4">
        <v>0.74914351851851846</v>
      </c>
      <c r="F19" s="9">
        <f>FolhaDeHoras48[[#This Row],[Saída Tarde]]-FolhaDeHoras48[[#This Row],[Entrada Manhã]]-(FolhaDeHoras48[[#This Row],[Entrada Tarde]]-FolhaDeHoras48[[#This Row],[Saída Manhã]])</f>
        <v>0.2752546296296296</v>
      </c>
    </row>
    <row r="20" spans="1:21" x14ac:dyDescent="0.25">
      <c r="A20" s="3">
        <v>43515</v>
      </c>
      <c r="B20" s="4">
        <v>0.2913425925925926</v>
      </c>
      <c r="C20" s="4">
        <v>0.48592592592592593</v>
      </c>
      <c r="D20" s="4">
        <v>0.57731481481481484</v>
      </c>
      <c r="E20" s="4">
        <v>0.89390046296296299</v>
      </c>
      <c r="F20" s="9">
        <f>FolhaDeHoras48[[#This Row],[Saída Tarde]]-FolhaDeHoras48[[#This Row],[Entrada Manhã]]-(FolhaDeHoras48[[#This Row],[Entrada Tarde]]-FolhaDeHoras48[[#This Row],[Saída Manhã]])</f>
        <v>0.51116898148148149</v>
      </c>
      <c r="U20" s="12"/>
    </row>
    <row r="21" spans="1:21" x14ac:dyDescent="0.25">
      <c r="A21" s="3">
        <v>43516</v>
      </c>
      <c r="B21" s="4">
        <v>0.32350694444444444</v>
      </c>
      <c r="C21" s="4">
        <v>0.5153240740740741</v>
      </c>
      <c r="D21" s="4">
        <v>0.56018518518518523</v>
      </c>
      <c r="E21" s="4">
        <v>0.71833333333333327</v>
      </c>
      <c r="F21" s="9">
        <f>FolhaDeHoras48[[#This Row],[Saída Tarde]]-FolhaDeHoras48[[#This Row],[Entrada Manhã]]-(FolhaDeHoras48[[#This Row],[Entrada Tarde]]-FolhaDeHoras48[[#This Row],[Saída Manhã]])</f>
        <v>0.34996527777777769</v>
      </c>
    </row>
    <row r="22" spans="1:21" x14ac:dyDescent="0.25">
      <c r="A22" s="3">
        <v>43517</v>
      </c>
      <c r="B22" s="4">
        <v>0.43809027777777776</v>
      </c>
      <c r="C22" s="4">
        <v>0.53574074074074074</v>
      </c>
      <c r="D22" s="4">
        <v>0.59402777777777782</v>
      </c>
      <c r="E22" s="4">
        <v>0.7518055555555555</v>
      </c>
      <c r="F22" s="9">
        <f>FolhaDeHoras48[[#This Row],[Saída Tarde]]-FolhaDeHoras48[[#This Row],[Entrada Manhã]]-(FolhaDeHoras48[[#This Row],[Entrada Tarde]]-FolhaDeHoras48[[#This Row],[Saída Manhã]])</f>
        <v>0.25542824074074066</v>
      </c>
    </row>
    <row r="23" spans="1:21" x14ac:dyDescent="0.25">
      <c r="A23" s="3">
        <v>43518</v>
      </c>
      <c r="B23" s="4">
        <v>0.4012384259259259</v>
      </c>
      <c r="C23" s="4">
        <v>0.55546296296296294</v>
      </c>
      <c r="D23" s="4">
        <v>0.60640046296296291</v>
      </c>
      <c r="E23" s="4">
        <v>0.84766203703703702</v>
      </c>
      <c r="F23" s="9">
        <f>FolhaDeHoras48[[#This Row],[Saída Tarde]]-FolhaDeHoras48[[#This Row],[Entrada Manhã]]-(FolhaDeHoras48[[#This Row],[Entrada Tarde]]-FolhaDeHoras48[[#This Row],[Saída Manhã]])</f>
        <v>0.39548611111111115</v>
      </c>
    </row>
    <row r="24" spans="1:21" x14ac:dyDescent="0.25">
      <c r="A24" s="3">
        <v>43519</v>
      </c>
      <c r="F24" s="9">
        <f>FolhaDeHoras48[[#This Row],[Saída Tarde]]-FolhaDeHoras48[[#This Row],[Entrada Manhã]]-(FolhaDeHoras48[[#This Row],[Entrada Tarde]]-FolhaDeHoras48[[#This Row],[Saída Manhã]])</f>
        <v>0</v>
      </c>
    </row>
    <row r="25" spans="1:21" x14ac:dyDescent="0.25">
      <c r="A25" s="3">
        <v>43520</v>
      </c>
      <c r="F25" s="9">
        <f>FolhaDeHoras48[[#This Row],[Saída Tarde]]-FolhaDeHoras48[[#This Row],[Entrada Manhã]]-(FolhaDeHoras48[[#This Row],[Entrada Tarde]]-FolhaDeHoras48[[#This Row],[Saída Manhã]])</f>
        <v>0</v>
      </c>
    </row>
    <row r="26" spans="1:21" x14ac:dyDescent="0.25">
      <c r="A26" s="3">
        <v>43521</v>
      </c>
      <c r="B26" s="4">
        <v>0.32984953703703707</v>
      </c>
      <c r="C26" s="4">
        <v>0.56755787037037042</v>
      </c>
      <c r="D26" s="4">
        <v>0.6174074074074074</v>
      </c>
      <c r="E26" s="4">
        <v>0.70208333333333339</v>
      </c>
      <c r="F26" s="9">
        <f>FolhaDeHoras48[[#This Row],[Saída Tarde]]-FolhaDeHoras48[[#This Row],[Entrada Manhã]]-(FolhaDeHoras48[[#This Row],[Entrada Tarde]]-FolhaDeHoras48[[#This Row],[Saída Manhã]])</f>
        <v>0.32238425925925934</v>
      </c>
    </row>
    <row r="27" spans="1:21" x14ac:dyDescent="0.25">
      <c r="A27" s="3">
        <v>43522</v>
      </c>
      <c r="B27" s="4">
        <v>0.45288194444444446</v>
      </c>
      <c r="C27" s="4">
        <v>0.54689814814814819</v>
      </c>
      <c r="D27" s="4">
        <v>0.57200231481481478</v>
      </c>
      <c r="E27" s="4">
        <v>0.80815972222222221</v>
      </c>
      <c r="F27" s="9">
        <f>FolhaDeHoras48[[#This Row],[Saída Tarde]]-FolhaDeHoras48[[#This Row],[Entrada Manhã]]-(FolhaDeHoras48[[#This Row],[Entrada Tarde]]-FolhaDeHoras48[[#This Row],[Saída Manhã]])</f>
        <v>0.33017361111111115</v>
      </c>
    </row>
    <row r="28" spans="1:21" x14ac:dyDescent="0.25">
      <c r="A28" s="3">
        <v>43523</v>
      </c>
      <c r="B28" s="4">
        <v>0.37684027777777779</v>
      </c>
      <c r="C28" s="4">
        <v>0.50307870370370367</v>
      </c>
      <c r="D28" s="4">
        <v>0.57094907407407403</v>
      </c>
      <c r="E28" s="4">
        <v>0.76650462962962962</v>
      </c>
      <c r="F28" s="9">
        <f>FolhaDeHoras48[[#This Row],[Saída Tarde]]-FolhaDeHoras48[[#This Row],[Entrada Manhã]]-(FolhaDeHoras48[[#This Row],[Entrada Tarde]]-FolhaDeHoras48[[#This Row],[Saída Manhã]])</f>
        <v>0.32179398148148147</v>
      </c>
    </row>
    <row r="29" spans="1:21" ht="15.75" thickBot="1" x14ac:dyDescent="0.3">
      <c r="A29" s="3">
        <v>43524</v>
      </c>
      <c r="B29" s="4">
        <v>0.26815972222222223</v>
      </c>
      <c r="C29" s="4">
        <v>0.50718750000000001</v>
      </c>
      <c r="D29" s="4">
        <v>0.54630787037037043</v>
      </c>
      <c r="E29" s="4">
        <v>0.70981481481481479</v>
      </c>
      <c r="F29" s="10">
        <f>FolhaDeHoras48[[#This Row],[Saída Tarde]]-FolhaDeHoras48[[#This Row],[Entrada Manhã]]-(FolhaDeHoras48[[#This Row],[Entrada Tarde]]-FolhaDeHoras48[[#This Row],[Saída Manhã]])</f>
        <v>0.40253472222222214</v>
      </c>
    </row>
    <row r="30" spans="1:21" ht="15.75" thickTop="1" x14ac:dyDescent="0.25">
      <c r="A30" t="s">
        <v>9</v>
      </c>
      <c r="F30" s="11">
        <f>SUBTOTAL(109,FolhaDeHoras48[Duração])</f>
        <v>7.0889004629629619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Desafio - Folha de Ponto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Lucas S. da Luz</dc:creator>
  <cp:lastModifiedBy>RICARDO LEITE DA SILVA ROCHA</cp:lastModifiedBy>
  <dcterms:created xsi:type="dcterms:W3CDTF">2025-11-11T23:42:47Z</dcterms:created>
  <dcterms:modified xsi:type="dcterms:W3CDTF">2025-11-12T00:32:56Z</dcterms:modified>
</cp:coreProperties>
</file>