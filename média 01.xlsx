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EE070767-E7D1-4428-83F7-0CD471985DAE}" xr6:coauthVersionLast="36" xr6:coauthVersionMax="36" xr10:uidLastSave="{00000000-0000-0000-0000-000000000000}"/>
  <bookViews>
    <workbookView xWindow="0" yWindow="0" windowWidth="15345" windowHeight="4470" xr2:uid="{345AC912-54A6-4FE6-90AB-CCD38894140C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<sst xmlns="http://schemas.openxmlformats.org/spreadsheetml/2006/main" count="22" uniqueCount="19">
  <si>
    <t>Média Salarial 2015 - 2017</t>
  </si>
  <si>
    <t>ID</t>
  </si>
  <si>
    <t>Funcionário</t>
  </si>
  <si>
    <t>Área</t>
  </si>
  <si>
    <t>2015</t>
  </si>
  <si>
    <t>2016</t>
  </si>
  <si>
    <t>2017</t>
  </si>
  <si>
    <t>Média</t>
  </si>
  <si>
    <t>Arthur</t>
  </si>
  <si>
    <t>Financeiro</t>
  </si>
  <si>
    <t>Carmen</t>
  </si>
  <si>
    <t>Comercial</t>
  </si>
  <si>
    <t>Davi</t>
  </si>
  <si>
    <t>Pedagógico</t>
  </si>
  <si>
    <t>Eduardo</t>
  </si>
  <si>
    <t>Administrativo</t>
  </si>
  <si>
    <t>Luzinete</t>
  </si>
  <si>
    <t>Tallia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</si>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</sst>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Font="1"/>
    <xf numFmtId="0" fontId="2" fillId="2" borderId="0" xfId="0" applyFont="1" applyFill="1" applyAlignment="1">
      <alignment horizontal="center"/>
    </xf>
    <xf numFmtId="43" fontId="1" fillId="0" borderId="0" xfId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FF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medium">
          <color rgb="FFFF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0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'[1]Média Salarial'!$B$2</c:f>
          <c:strCache>
            <c:ptCount val="1"/>
            <c:pt idx="0">
              <c:v>Média Salarial 2015 - 2017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3"/>
          <c:order val="3"/>
          <c:tx>
            <c:strRef>
              <c:f>'[1]Média Salarial'!$H$3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'[1]Média Salarial'!$C$4:$C$10</c:f>
              <c:strCache>
                <c:ptCount val="7"/>
                <c:pt idx="0">
                  <c:v>Arthur</c:v>
                </c:pt>
                <c:pt idx="1">
                  <c:v>Carmen</c:v>
                </c:pt>
                <c:pt idx="2">
                  <c:v>Davi</c:v>
                </c:pt>
                <c:pt idx="3">
                  <c:v>Eduardo</c:v>
                </c:pt>
                <c:pt idx="4">
                  <c:v>Luzinete</c:v>
                </c:pt>
                <c:pt idx="5">
                  <c:v>Tallia</c:v>
                </c:pt>
                <c:pt idx="6">
                  <c:v>Victor</c:v>
                </c:pt>
              </c:strCache>
            </c:strRef>
          </c:cat>
          <c:val>
            <c:numRef>
              <c:f>'[1]Média Salarial'!$H$4:$H$10</c:f>
              <c:numCache>
                <c:formatCode>General</c:formatCode>
                <c:ptCount val="7"/>
                <c:pt idx="0">
                  <c:v>4969</c:v>
                </c:pt>
                <c:pt idx="1">
                  <c:v>9684</c:v>
                </c:pt>
                <c:pt idx="2">
                  <c:v>8084</c:v>
                </c:pt>
                <c:pt idx="3">
                  <c:v>4037</c:v>
                </c:pt>
                <c:pt idx="4">
                  <c:v>9266</c:v>
                </c:pt>
                <c:pt idx="5">
                  <c:v>7455</c:v>
                </c:pt>
                <c:pt idx="6">
                  <c:v>5930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6-4984-A04B-E9776FB6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228496"/>
        <c:axId val="709225544"/>
      </c:areaChart>
      <c:barChart>
        <c:barDir val="col"/>
        <c:grouping val="clustered"/>
        <c:varyColors val="0"/>
        <c:ser>
          <c:idx val="0"/>
          <c:order val="0"/>
          <c:tx>
            <c:strRef>
              <c:f>'[1]Média Salarial'!$E$3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'[1]Média Salarial'!$C$4:$C$10</c:f>
              <c:strCache>
                <c:ptCount val="7"/>
                <c:pt idx="0">
                  <c:v>Arthur</c:v>
                </c:pt>
                <c:pt idx="1">
                  <c:v>Carmen</c:v>
                </c:pt>
                <c:pt idx="2">
                  <c:v>Davi</c:v>
                </c:pt>
                <c:pt idx="3">
                  <c:v>Eduardo</c:v>
                </c:pt>
                <c:pt idx="4">
                  <c:v>Luzinete</c:v>
                </c:pt>
                <c:pt idx="5">
                  <c:v>Tallia</c:v>
                </c:pt>
                <c:pt idx="6">
                  <c:v>Victor</c:v>
                </c:pt>
              </c:strCache>
            </c:strRef>
          </c:cat>
          <c:val>
            <c:numRef>
              <c:f>'[1]Média Salarial'!$E$4:$E$10</c:f>
              <c:numCache>
                <c:formatCode>General</c:formatCode>
                <c:ptCount val="7"/>
                <c:pt idx="0">
                  <c:v>4648</c:v>
                </c:pt>
                <c:pt idx="1">
                  <c:v>9363</c:v>
                </c:pt>
                <c:pt idx="2">
                  <c:v>7763</c:v>
                </c:pt>
                <c:pt idx="3">
                  <c:v>3716</c:v>
                </c:pt>
                <c:pt idx="4">
                  <c:v>8945</c:v>
                </c:pt>
                <c:pt idx="5">
                  <c:v>7134</c:v>
                </c:pt>
                <c:pt idx="6">
                  <c:v>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6-4984-A04B-E9776FB699A3}"/>
            </c:ext>
          </c:extLst>
        </c:ser>
        <c:ser>
          <c:idx val="1"/>
          <c:order val="1"/>
          <c:tx>
            <c:strRef>
              <c:f>'[1]Média Salarial'!$F$3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'[1]Média Salarial'!$C$4:$C$10</c:f>
              <c:strCache>
                <c:ptCount val="7"/>
                <c:pt idx="0">
                  <c:v>Arthur</c:v>
                </c:pt>
                <c:pt idx="1">
                  <c:v>Carmen</c:v>
                </c:pt>
                <c:pt idx="2">
                  <c:v>Davi</c:v>
                </c:pt>
                <c:pt idx="3">
                  <c:v>Eduardo</c:v>
                </c:pt>
                <c:pt idx="4">
                  <c:v>Luzinete</c:v>
                </c:pt>
                <c:pt idx="5">
                  <c:v>Tallia</c:v>
                </c:pt>
                <c:pt idx="6">
                  <c:v>Victor</c:v>
                </c:pt>
              </c:strCache>
            </c:strRef>
          </c:cat>
          <c:val>
            <c:numRef>
              <c:f>'[1]Média Salarial'!$F$4:$F$10</c:f>
              <c:numCache>
                <c:formatCode>General</c:formatCode>
                <c:ptCount val="7"/>
                <c:pt idx="0">
                  <c:v>4969</c:v>
                </c:pt>
                <c:pt idx="1">
                  <c:v>9684</c:v>
                </c:pt>
                <c:pt idx="2">
                  <c:v>8084</c:v>
                </c:pt>
                <c:pt idx="3">
                  <c:v>4037</c:v>
                </c:pt>
                <c:pt idx="4">
                  <c:v>9266</c:v>
                </c:pt>
                <c:pt idx="5">
                  <c:v>7455</c:v>
                </c:pt>
                <c:pt idx="6">
                  <c:v>5930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6-4984-A04B-E9776FB699A3}"/>
            </c:ext>
          </c:extLst>
        </c:ser>
        <c:ser>
          <c:idx val="2"/>
          <c:order val="2"/>
          <c:tx>
            <c:strRef>
              <c:f>'[1]Média Salarial'!$G$3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'[1]Média Salarial'!$C$4:$C$10</c:f>
              <c:strCache>
                <c:ptCount val="7"/>
                <c:pt idx="0">
                  <c:v>Arthur</c:v>
                </c:pt>
                <c:pt idx="1">
                  <c:v>Carmen</c:v>
                </c:pt>
                <c:pt idx="2">
                  <c:v>Davi</c:v>
                </c:pt>
                <c:pt idx="3">
                  <c:v>Eduardo</c:v>
                </c:pt>
                <c:pt idx="4">
                  <c:v>Luzinete</c:v>
                </c:pt>
                <c:pt idx="5">
                  <c:v>Tallia</c:v>
                </c:pt>
                <c:pt idx="6">
                  <c:v>Victor</c:v>
                </c:pt>
              </c:strCache>
            </c:strRef>
          </c:cat>
          <c:val>
            <c:numRef>
              <c:f>'[1]Média Salarial'!$G$4:$G$10</c:f>
              <c:numCache>
                <c:formatCode>General</c:formatCode>
                <c:ptCount val="7"/>
                <c:pt idx="0">
                  <c:v>5290</c:v>
                </c:pt>
                <c:pt idx="1">
                  <c:v>10005</c:v>
                </c:pt>
                <c:pt idx="2">
                  <c:v>8405</c:v>
                </c:pt>
                <c:pt idx="3">
                  <c:v>4358</c:v>
                </c:pt>
                <c:pt idx="4">
                  <c:v>9587</c:v>
                </c:pt>
                <c:pt idx="5">
                  <c:v>7776</c:v>
                </c:pt>
                <c:pt idx="6">
                  <c:v>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6-4984-A04B-E9776FB6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09228496"/>
        <c:axId val="709225544"/>
      </c:barChart>
      <c:catAx>
        <c:axId val="70922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225544"/>
        <c:crosses val="autoZero"/>
        <c:auto val="1"/>
        <c:lblAlgn val="ctr"/>
        <c:lblOffset val="100"/>
        <c:noMultiLvlLbl val="0"/>
      </c:catAx>
      <c:valAx>
        <c:axId val="70922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2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1</xdr:row>
      <xdr:rowOff>129020</xdr:rowOff>
    </xdr:from>
    <xdr:to>
      <xdr:col>18</xdr:col>
      <xdr:colOff>104775</xdr:colOff>
      <xdr:row>12</xdr:row>
      <xdr:rowOff>314325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EE5994-A52B-448B-A6A0-C219CB88D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hur%20Lucas/Desktop/01%20AULAS/EXCEL%20Basico/Base/Excel+para+Iniciantes+(a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ste Treinamento"/>
      <sheetName val="CAP 01 - FORMATAÇÃO DE DADOS"/>
      <sheetName val="Área de Trabalho do Excel"/>
      <sheetName val="Deslocamento | Seleção | Mover"/>
      <sheetName val="Alça de Preenchimento"/>
      <sheetName val="Área de Transferência"/>
      <sheetName val="Fonte, Alinhamento e Número"/>
      <sheetName val="Grupo Células"/>
      <sheetName val="Grupo Edição"/>
      <sheetName val="Classificar e Filtrar Básico"/>
      <sheetName val="Preenchimento Relâmpago"/>
      <sheetName val="Desafio - CAP 01"/>
      <sheetName val="CAP 02 - TABELAS e SEGMENTAÇÕES"/>
      <sheetName val="Formatar como Tabela"/>
      <sheetName val="Segmentação de dados"/>
      <sheetName val="Enunciado Desafio - CAP 02"/>
      <sheetName val="Resolução do Desafio - CAP 02"/>
      <sheetName val="CAP 03 - CÁLCULOS NO EXCEL"/>
      <sheetName val="Noções básicas"/>
      <sheetName val="Adição"/>
      <sheetName val="Subtração"/>
      <sheetName val="Multiplicação"/>
      <sheetName val="Divisão"/>
      <sheetName val="Enunciado Desafio - CAP 03"/>
      <sheetName val="Resolução do Desafio - CAP  03"/>
      <sheetName val="CAP 04 - FUNÇÕES ESSENCIAIS"/>
      <sheetName val="Soma (Orçamento Doméstico)"/>
      <sheetName val="Soma (Custos de Escritório)"/>
      <sheetName val="Média Salarial"/>
      <sheetName val="Média Piso Salarial Nacional"/>
      <sheetName val="Média auxilio moradia 2017"/>
      <sheetName val="Máximo e Mínimo"/>
      <sheetName val="Cont.núm | Contar.vazio"/>
      <sheetName val="SomarProduto | Custo de Serviço"/>
      <sheetName val="SomarProduto | Itens"/>
      <sheetName val="Desafio Filiais"/>
      <sheetName val="Desafio Metas"/>
      <sheetName val="CAP 05 - TRATAMENTO DE NÚMEROS"/>
      <sheetName val="FUNÇÃO ARRED"/>
      <sheetName val="Descontos e Acréscimos Salário"/>
      <sheetName val="Parte Inteira (INT)"/>
      <sheetName val="Módulo ABS"/>
      <sheetName val="Desafio Capítulo Tratamento"/>
      <sheetName val="CAP 06 - CÁLCULOS DATA E HORA"/>
      <sheetName val="Entenda os cálculos data|hora"/>
      <sheetName val="Horas trabalhadas"/>
      <sheetName val="Reforma de Casa"/>
      <sheetName val="Cálculo de data"/>
      <sheetName val="Cálculo Hora"/>
      <sheetName val="Desafio Cálculos Data e Hora"/>
      <sheetName val="Desafio - Folha de Ponto"/>
      <sheetName val="CAP 07 - FUNÇÕES DATA E HORA"/>
      <sheetName val="Função Hoje"/>
      <sheetName val="Função Agora"/>
      <sheetName val="Hora | Minuto | Segundo"/>
      <sheetName val="Dia | Mês | Ano"/>
      <sheetName val="Função Data"/>
      <sheetName val="Desafio Mês"/>
      <sheetName val="Desafio Dia"/>
      <sheetName val="Desafio Ano"/>
      <sheetName val="Desafio Funções Data e Hora"/>
      <sheetName val="CAP 08 - FUNÇÕES TEXTO"/>
      <sheetName val="Funções de texto"/>
      <sheetName val="Arrumar"/>
      <sheetName val="Concatenar"/>
      <sheetName val="UnirTexto 1"/>
      <sheetName val="Unirtexto 2"/>
      <sheetName val="Desafio Final Funções Texto"/>
      <sheetName val="CAP 09 - Função SE"/>
      <sheetName val="Sinais na função Se"/>
      <sheetName val="Entendendo a Função Se"/>
      <sheetName val="Função Se Simples I"/>
      <sheetName val="Função Se Simples II"/>
      <sheetName val="Função Se - Desafio I"/>
      <sheetName val="Função Se Desafio II"/>
      <sheetName val="CAP 10 - GRÁFICOS"/>
      <sheetName val="Gráfico I"/>
      <sheetName val="Gráfico II"/>
      <sheetName val="Gráf. Vendas Região (Treemap)"/>
      <sheetName val="Gráf. Diagrama de Pareto"/>
      <sheetName val="Desafio Gráficos"/>
      <sheetName val="Painel Desafio Gráficos"/>
      <sheetName val="CAP 11 - CLASSIFICAÇÃO E FILTRO"/>
      <sheetName val="Classificação e Filtro"/>
      <sheetName val="Filtro na Segmentação de dados"/>
      <sheetName val="Filtro de dados por cor"/>
      <sheetName val="Classificação Personalizada"/>
      <sheetName val="CAP 12 - IMPRESSÃO"/>
      <sheetName val="Configuração de Página"/>
      <sheetName val="Quebras"/>
      <sheetName val="Imprimir Títulos"/>
      <sheetName val="Modos de Exibição"/>
      <sheetName val="Congelar Painéis"/>
      <sheetName val="Informações Import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B2" t="str">
            <v>Média Salarial 2015 - 2017</v>
          </cell>
        </row>
        <row r="3">
          <cell r="E3" t="str">
            <v>2015</v>
          </cell>
          <cell r="F3" t="str">
            <v>2016</v>
          </cell>
          <cell r="G3" t="str">
            <v>2017</v>
          </cell>
          <cell r="H3" t="str">
            <v>Média</v>
          </cell>
        </row>
        <row r="4">
          <cell r="C4" t="str">
            <v>Arthur</v>
          </cell>
          <cell r="E4">
            <v>4648</v>
          </cell>
          <cell r="F4">
            <v>4969</v>
          </cell>
          <cell r="G4">
            <v>5290</v>
          </cell>
          <cell r="H4">
            <v>4969</v>
          </cell>
        </row>
        <row r="5">
          <cell r="C5" t="str">
            <v>Carmen</v>
          </cell>
          <cell r="E5">
            <v>9363</v>
          </cell>
          <cell r="F5">
            <v>9684</v>
          </cell>
          <cell r="G5">
            <v>10005</v>
          </cell>
          <cell r="H5">
            <v>9684</v>
          </cell>
        </row>
        <row r="6">
          <cell r="C6" t="str">
            <v>Davi</v>
          </cell>
          <cell r="E6">
            <v>7763</v>
          </cell>
          <cell r="F6">
            <v>8084</v>
          </cell>
          <cell r="G6">
            <v>8405</v>
          </cell>
          <cell r="H6">
            <v>8084</v>
          </cell>
        </row>
        <row r="7">
          <cell r="C7" t="str">
            <v>Eduardo</v>
          </cell>
          <cell r="E7">
            <v>3716</v>
          </cell>
          <cell r="F7">
            <v>4037</v>
          </cell>
          <cell r="G7">
            <v>4358</v>
          </cell>
          <cell r="H7">
            <v>4037</v>
          </cell>
        </row>
        <row r="8">
          <cell r="C8" t="str">
            <v>Luzinete</v>
          </cell>
          <cell r="E8">
            <v>8945</v>
          </cell>
          <cell r="F8">
            <v>9266</v>
          </cell>
          <cell r="G8">
            <v>9587</v>
          </cell>
          <cell r="H8">
            <v>9266</v>
          </cell>
        </row>
        <row r="9">
          <cell r="C9" t="str">
            <v>Tallia</v>
          </cell>
          <cell r="E9">
            <v>7134</v>
          </cell>
          <cell r="F9">
            <v>7455</v>
          </cell>
          <cell r="G9">
            <v>7776</v>
          </cell>
          <cell r="H9">
            <v>7455</v>
          </cell>
        </row>
        <row r="10">
          <cell r="C10" t="str">
            <v>Victor</v>
          </cell>
          <cell r="E10">
            <v>5609</v>
          </cell>
          <cell r="F10">
            <v>5930</v>
          </cell>
          <cell r="G10">
            <v>6251</v>
          </cell>
          <cell r="H10">
            <v>5930</v>
          </cell>
        </row>
      </sheetData>
      <sheetData sheetId="29">
        <row r="1">
          <cell r="A1" t="str">
            <v>Piso Salarial Nacional 2009 - 2018</v>
          </cell>
        </row>
      </sheetData>
      <sheetData sheetId="30">
        <row r="3">
          <cell r="B3" t="str">
            <v>Auxílio Moradia dos Deputados em 2017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2BAA5-C10E-49B0-A536-93A8890A1D9E}" name="Tabela1" displayName="Tabela1" ref="B3:H10" headerRowDxfId="14" dataDxfId="13" dataCellStyle="Vírgula">
  <autoFilter ref="B3:H10" xr:uid="{62917033-1EA5-41E1-B746-A0FF5F74AD28}"/>
  <tableColumns count="7">
    <tableColumn id="1" xr3:uid="{EC6F09A3-85B6-4A96-B7C8-E6AE8FA717EF}" name="ID" totalsRowLabel="Total" dataDxfId="12" totalsRowDxfId="1"/>
    <tableColumn id="2" xr3:uid="{5137C92E-0F35-4BE3-B1EB-0FDAA5C517C1}" name="Funcionário" dataDxfId="11" totalsRowDxfId="2"/>
    <tableColumn id="3" xr3:uid="{8D1ADCF4-AF3A-4A88-BDC1-5FAA32333508}" name="Área" dataDxfId="10" totalsRowDxfId="3"/>
    <tableColumn id="4" xr3:uid="{20FB2563-2A74-4898-A278-361B5FE18A34}" name="2015" dataDxfId="9" totalsRowDxfId="4" dataCellStyle="Vírgula"/>
    <tableColumn id="5" xr3:uid="{C86A2F87-D313-4797-A141-880C9544B1B9}" name="2016" dataDxfId="8" totalsRowDxfId="5" dataCellStyle="Vírgula"/>
    <tableColumn id="6" xr3:uid="{D06C9CD8-790C-41D5-AB07-8F860545F00C}" name="2017" dataDxfId="7" totalsRowDxfId="6" dataCellStyle="Vírgula"/>
    <tableColumn id="8" xr3:uid="{1DDC11EE-87C6-460D-BDA5-8B3D193DBA11}" name="Média" totalsRowFunction="sum" dataDxfId="0" dataCellStyle="Vírgula">
      <calculatedColumnFormula>AVERAGE(E4:G4)</calculatedColumnFormula>
    </tableColumn>
  </tableColumns>
  <tableStyleInfo name="TableStyleMedium13" showFirstColumn="0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403F-2C58-4EEA-8722-6E1FB67D223F}">
  <dimension ref="B2:I18"/>
  <sheetViews>
    <sheetView tabSelected="1" workbookViewId="0">
      <selection activeCell="E15" sqref="E15"/>
    </sheetView>
  </sheetViews>
  <sheetFormatPr defaultRowHeight="15" x14ac:dyDescent="0.25"/>
  <cols>
    <col min="2" max="2" width="7.28515625" bestFit="1" customWidth="1"/>
    <col min="3" max="3" width="15.28515625" bestFit="1" customWidth="1"/>
    <col min="4" max="4" width="12.7109375" bestFit="1" customWidth="1"/>
    <col min="5" max="6" width="9.42578125" bestFit="1" customWidth="1"/>
    <col min="7" max="7" width="10.28515625" bestFit="1" customWidth="1"/>
    <col min="8" max="8" width="10.7109375" bestFit="1" customWidth="1"/>
  </cols>
  <sheetData>
    <row r="2" spans="2:9" ht="18.75" x14ac:dyDescent="0.3">
      <c r="B2" s="7" t="s">
        <v>0</v>
      </c>
      <c r="C2" s="7"/>
      <c r="D2" s="7"/>
      <c r="E2" s="7"/>
      <c r="F2" s="7"/>
      <c r="G2" s="7"/>
      <c r="H2" s="7"/>
      <c r="I2" s="1"/>
    </row>
    <row r="3" spans="2:9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/>
    </row>
    <row r="4" spans="2:9" x14ac:dyDescent="0.25">
      <c r="B4" s="3">
        <v>1</v>
      </c>
      <c r="C4" s="2" t="s">
        <v>8</v>
      </c>
      <c r="D4" s="4" t="s">
        <v>9</v>
      </c>
      <c r="E4" s="5">
        <v>4648</v>
      </c>
      <c r="F4" s="5">
        <v>4969</v>
      </c>
      <c r="G4" s="5">
        <v>5290</v>
      </c>
      <c r="H4" s="8">
        <f t="shared" ref="H4:H10" si="0">AVERAGE(E4:G4)</f>
        <v>4969</v>
      </c>
      <c r="I4" s="5"/>
    </row>
    <row r="5" spans="2:9" x14ac:dyDescent="0.25">
      <c r="B5" s="3">
        <v>2</v>
      </c>
      <c r="C5" s="2" t="s">
        <v>10</v>
      </c>
      <c r="D5" s="2" t="s">
        <v>11</v>
      </c>
      <c r="E5" s="5">
        <v>9363</v>
      </c>
      <c r="F5" s="5">
        <v>9684</v>
      </c>
      <c r="G5" s="5">
        <v>10005</v>
      </c>
      <c r="H5" s="8">
        <f t="shared" si="0"/>
        <v>9684</v>
      </c>
      <c r="I5" s="5"/>
    </row>
    <row r="6" spans="2:9" x14ac:dyDescent="0.25">
      <c r="B6" s="3">
        <v>3</v>
      </c>
      <c r="C6" s="2" t="s">
        <v>12</v>
      </c>
      <c r="D6" s="2" t="s">
        <v>13</v>
      </c>
      <c r="E6" s="5">
        <v>7763</v>
      </c>
      <c r="F6" s="5">
        <v>8084</v>
      </c>
      <c r="G6" s="5">
        <v>8405</v>
      </c>
      <c r="H6" s="8">
        <f t="shared" si="0"/>
        <v>8084</v>
      </c>
      <c r="I6" s="5"/>
    </row>
    <row r="7" spans="2:9" x14ac:dyDescent="0.25">
      <c r="B7" s="3">
        <v>4</v>
      </c>
      <c r="C7" s="2" t="s">
        <v>14</v>
      </c>
      <c r="D7" s="2" t="s">
        <v>15</v>
      </c>
      <c r="E7" s="5">
        <v>3716</v>
      </c>
      <c r="F7" s="5">
        <v>4037</v>
      </c>
      <c r="G7" s="5">
        <v>4358</v>
      </c>
      <c r="H7" s="8">
        <f t="shared" si="0"/>
        <v>4037</v>
      </c>
      <c r="I7" s="5"/>
    </row>
    <row r="8" spans="2:9" x14ac:dyDescent="0.25">
      <c r="B8" s="3">
        <v>5</v>
      </c>
      <c r="C8" s="2" t="s">
        <v>16</v>
      </c>
      <c r="D8" s="2" t="s">
        <v>13</v>
      </c>
      <c r="E8" s="5">
        <v>8945</v>
      </c>
      <c r="F8" s="5">
        <v>9266</v>
      </c>
      <c r="G8" s="5">
        <v>9587</v>
      </c>
      <c r="H8" s="8">
        <f t="shared" si="0"/>
        <v>9266</v>
      </c>
      <c r="I8" s="5"/>
    </row>
    <row r="9" spans="2:9" x14ac:dyDescent="0.25">
      <c r="B9" s="3">
        <v>6</v>
      </c>
      <c r="C9" s="2" t="s">
        <v>17</v>
      </c>
      <c r="D9" s="2" t="s">
        <v>15</v>
      </c>
      <c r="E9" s="5">
        <v>7134</v>
      </c>
      <c r="F9" s="5">
        <v>7455</v>
      </c>
      <c r="G9" s="5">
        <v>7776</v>
      </c>
      <c r="H9" s="8">
        <f t="shared" si="0"/>
        <v>7455</v>
      </c>
      <c r="I9" s="5"/>
    </row>
    <row r="10" spans="2:9" x14ac:dyDescent="0.25">
      <c r="B10" s="3">
        <v>7</v>
      </c>
      <c r="C10" s="2" t="s">
        <v>18</v>
      </c>
      <c r="D10" s="2" t="s">
        <v>9</v>
      </c>
      <c r="E10" s="5">
        <v>5609</v>
      </c>
      <c r="F10" s="5">
        <v>5930</v>
      </c>
      <c r="G10" s="5">
        <v>6251</v>
      </c>
      <c r="H10" s="8">
        <f t="shared" si="0"/>
        <v>5930</v>
      </c>
      <c r="I10" s="5"/>
    </row>
    <row r="18" spans="8:8" x14ac:dyDescent="0.25">
      <c r="H18" s="6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2025-11-07T20:36:12Z</dcterms:created>
  <dcterms:modified xsi:type="dcterms:W3CDTF">2025-11-07T23:20:55Z</dcterms:modified>
</cp:coreProperties>
</file>