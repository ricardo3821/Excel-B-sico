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338739409\Desktop\Excel Basico\"/>
    </mc:Choice>
  </mc:AlternateContent>
  <xr:revisionPtr revIDLastSave="0" documentId="13_ncr:1_{B44165B3-BDF1-47DC-A9A1-5B0E2EDAFFF3}" xr6:coauthVersionLast="36" xr6:coauthVersionMax="36" xr10:uidLastSave="{00000000-0000-0000-0000-000000000000}"/>
  <bookViews>
    <workbookView xWindow="0" yWindow="0" windowWidth="20490" windowHeight="7545" xr2:uid="{86A2272C-34D2-470D-A13A-A1CB96E2488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6" i="1" l="1"/>
  <c r="M15" i="1"/>
  <c r="M14" i="1"/>
  <c r="M13" i="1"/>
  <c r="M12" i="1"/>
  <c r="H32" i="1"/>
  <c r="M17" i="1" s="1"/>
  <c r="H23" i="1"/>
  <c r="H10" i="1"/>
  <c r="D31" i="1"/>
  <c r="D22" i="1"/>
  <c r="D10" i="1"/>
  <c r="M18" i="1" l="1"/>
</calcChain>
</file>

<file path=xl/sharedStrings.xml><?xml version="1.0" encoding="utf-8"?>
<sst xmlns="http://schemas.openxmlformats.org/spreadsheetml/2006/main" count="64" uniqueCount="49">
  <si>
    <t>Planilha de Custos de Escritório</t>
  </si>
  <si>
    <t>Custo</t>
  </si>
  <si>
    <t>Custos por Área</t>
  </si>
  <si>
    <t>Total</t>
  </si>
  <si>
    <t>Mobiliário</t>
  </si>
  <si>
    <t>Cadeira</t>
  </si>
  <si>
    <t>Equipamentos</t>
  </si>
  <si>
    <t>Mesa / Estação de Trabalho</t>
  </si>
  <si>
    <t>Decoração</t>
  </si>
  <si>
    <t>Armário</t>
  </si>
  <si>
    <t>Custos Diversos</t>
  </si>
  <si>
    <t>Gaveteiro</t>
  </si>
  <si>
    <t>Sala de Reunião</t>
  </si>
  <si>
    <t>Sofá / Poltrona</t>
  </si>
  <si>
    <t>Recepção</t>
  </si>
  <si>
    <t>Subtotal</t>
  </si>
  <si>
    <t>Ar condicionado / Split</t>
  </si>
  <si>
    <t>Filtro de água</t>
  </si>
  <si>
    <t>Cafeteira</t>
  </si>
  <si>
    <t>Roteador Wifi</t>
  </si>
  <si>
    <t>Impressora / Multifuncional</t>
  </si>
  <si>
    <t>Aparelho Telefônico</t>
  </si>
  <si>
    <t>Geladeira / Frigobar</t>
  </si>
  <si>
    <t>Microondas</t>
  </si>
  <si>
    <t>Computadores / Notebooks dos Colaboradores</t>
  </si>
  <si>
    <t>Decoração / Utensílios de Cozinha</t>
  </si>
  <si>
    <t>Quadros</t>
  </si>
  <si>
    <t>Prateleiras</t>
  </si>
  <si>
    <t>Luminárias</t>
  </si>
  <si>
    <t>Lâmpadas</t>
  </si>
  <si>
    <t>Quadro Branco</t>
  </si>
  <si>
    <t>Instalação de ar condicionado / split</t>
  </si>
  <si>
    <t>Repintura (entrega do imóvel)</t>
  </si>
  <si>
    <t>Cotas extras</t>
  </si>
  <si>
    <t>Manutenção (Infiltração, elétrica etc)</t>
  </si>
  <si>
    <t>Seguro-fiança / Caução / Depósito</t>
  </si>
  <si>
    <t>Obras/reforma/pintura</t>
  </si>
  <si>
    <t>Mesa</t>
  </si>
  <si>
    <t>TV</t>
  </si>
  <si>
    <t>Suporte para TV</t>
  </si>
  <si>
    <t>Projetor + Tela</t>
  </si>
  <si>
    <t>DVD / Blu-ray</t>
  </si>
  <si>
    <t>Videogame</t>
  </si>
  <si>
    <t>Cabo HDMI</t>
  </si>
  <si>
    <t>Webcam</t>
  </si>
  <si>
    <t>Computador / Notebook</t>
  </si>
  <si>
    <t>Telefone</t>
  </si>
  <si>
    <t>Luz</t>
  </si>
  <si>
    <t>celular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</si>
</sst>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8"/>
        <bgColor rgb="FF980000"/>
      </patternFill>
    </fill>
    <fill>
      <patternFill patternType="solid">
        <fgColor rgb="FFFF0000"/>
        <bgColor rgb="FF9900FF"/>
      </patternFill>
    </fill>
    <fill>
      <patternFill patternType="solid">
        <fgColor rgb="FFFF9900"/>
        <bgColor rgb="FFFF9900"/>
      </patternFill>
    </fill>
    <fill>
      <patternFill patternType="solid">
        <fgColor rgb="FF6AA84F"/>
        <bgColor rgb="FF6AA84F"/>
      </patternFill>
    </fill>
    <fill>
      <patternFill patternType="solid">
        <fgColor rgb="FF4A86E8"/>
        <bgColor rgb="FF4A86E8"/>
      </patternFill>
    </fill>
    <fill>
      <patternFill patternType="solid">
        <fgColor theme="0" tint="-0.34998626667073579"/>
        <bgColor rgb="FFFF00FF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/>
  </cellStyleXfs>
  <cellXfs count="47">
    <xf numFmtId="0" fontId="0" fillId="0" borderId="0" xfId="0"/>
    <xf numFmtId="0" fontId="4" fillId="0" borderId="0" xfId="2" applyFont="1" applyAlignment="1"/>
    <xf numFmtId="0" fontId="4" fillId="0" borderId="0" xfId="2" applyFont="1" applyAlignment="1">
      <alignment horizontal="center"/>
    </xf>
    <xf numFmtId="44" fontId="4" fillId="0" borderId="0" xfId="1" applyFont="1" applyAlignment="1">
      <alignment horizontal="center"/>
    </xf>
    <xf numFmtId="0" fontId="2" fillId="0" borderId="0" xfId="2" applyFont="1" applyAlignment="1"/>
    <xf numFmtId="44" fontId="4" fillId="0" borderId="4" xfId="1" applyFont="1" applyBorder="1" applyAlignment="1">
      <alignment horizontal="center"/>
    </xf>
    <xf numFmtId="0" fontId="5" fillId="0" borderId="5" xfId="2" applyFont="1" applyBorder="1"/>
    <xf numFmtId="0" fontId="4" fillId="0" borderId="4" xfId="2" applyFont="1" applyBorder="1" applyAlignment="1">
      <alignment horizontal="center"/>
    </xf>
    <xf numFmtId="0" fontId="5" fillId="3" borderId="4" xfId="2" applyFont="1" applyFill="1" applyBorder="1"/>
    <xf numFmtId="0" fontId="5" fillId="0" borderId="4" xfId="2" applyFont="1" applyBorder="1" applyAlignment="1"/>
    <xf numFmtId="44" fontId="5" fillId="0" borderId="4" xfId="1" applyFont="1" applyBorder="1" applyAlignment="1">
      <alignment horizontal="right"/>
    </xf>
    <xf numFmtId="0" fontId="5" fillId="4" borderId="4" xfId="2" applyFont="1" applyFill="1" applyBorder="1"/>
    <xf numFmtId="0" fontId="5" fillId="5" borderId="4" xfId="2" applyFont="1" applyFill="1" applyBorder="1"/>
    <xf numFmtId="0" fontId="5" fillId="6" borderId="4" xfId="2" applyFont="1" applyFill="1" applyBorder="1"/>
    <xf numFmtId="0" fontId="5" fillId="7" borderId="4" xfId="2" applyFont="1" applyFill="1" applyBorder="1"/>
    <xf numFmtId="0" fontId="5" fillId="8" borderId="4" xfId="2" applyFont="1" applyFill="1" applyBorder="1"/>
    <xf numFmtId="44" fontId="6" fillId="3" borderId="4" xfId="1" applyFont="1" applyFill="1" applyBorder="1" applyAlignment="1">
      <alignment horizontal="right"/>
    </xf>
    <xf numFmtId="0" fontId="4" fillId="0" borderId="4" xfId="2" applyFont="1" applyBorder="1" applyAlignment="1">
      <alignment horizontal="right"/>
    </xf>
    <xf numFmtId="44" fontId="4" fillId="9" borderId="4" xfId="1" applyFont="1" applyFill="1" applyBorder="1" applyAlignment="1">
      <alignment horizontal="right"/>
    </xf>
    <xf numFmtId="44" fontId="5" fillId="0" borderId="0" xfId="1" applyFont="1" applyAlignment="1">
      <alignment horizontal="right"/>
    </xf>
    <xf numFmtId="44" fontId="6" fillId="4" borderId="4" xfId="1" applyFont="1" applyFill="1" applyBorder="1" applyAlignment="1">
      <alignment horizontal="right"/>
    </xf>
    <xf numFmtId="44" fontId="6" fillId="5" borderId="4" xfId="1" applyFont="1" applyFill="1" applyBorder="1" applyAlignment="1">
      <alignment horizontal="right"/>
    </xf>
    <xf numFmtId="44" fontId="6" fillId="6" borderId="4" xfId="1" applyFont="1" applyFill="1" applyBorder="1" applyAlignment="1">
      <alignment horizontal="right"/>
    </xf>
    <xf numFmtId="44" fontId="6" fillId="7" borderId="4" xfId="1" applyFont="1" applyFill="1" applyBorder="1" applyAlignment="1">
      <alignment horizontal="right"/>
    </xf>
    <xf numFmtId="44" fontId="6" fillId="8" borderId="4" xfId="1" applyFont="1" applyFill="1" applyBorder="1" applyAlignment="1">
      <alignment horizontal="right"/>
    </xf>
    <xf numFmtId="0" fontId="6" fillId="6" borderId="1" xfId="2" applyFont="1" applyFill="1" applyBorder="1" applyAlignment="1"/>
    <xf numFmtId="0" fontId="5" fillId="0" borderId="2" xfId="2" applyFont="1" applyBorder="1"/>
    <xf numFmtId="0" fontId="5" fillId="0" borderId="3" xfId="2" applyFont="1" applyBorder="1"/>
    <xf numFmtId="0" fontId="5" fillId="0" borderId="1" xfId="2" applyFont="1" applyBorder="1" applyAlignment="1"/>
    <xf numFmtId="3" fontId="4" fillId="0" borderId="1" xfId="2" applyNumberFormat="1" applyFont="1" applyBorder="1" applyAlignment="1">
      <alignment horizontal="right"/>
    </xf>
    <xf numFmtId="0" fontId="6" fillId="7" borderId="1" xfId="2" applyFont="1" applyFill="1" applyBorder="1" applyAlignment="1"/>
    <xf numFmtId="0" fontId="5" fillId="0" borderId="1" xfId="2" applyFont="1" applyBorder="1" applyAlignment="1"/>
    <xf numFmtId="0" fontId="5" fillId="0" borderId="2" xfId="2" applyFont="1" applyBorder="1"/>
    <xf numFmtId="0" fontId="5" fillId="0" borderId="3" xfId="2" applyFont="1" applyBorder="1"/>
    <xf numFmtId="3" fontId="4" fillId="0" borderId="1" xfId="2" applyNumberFormat="1" applyFont="1" applyBorder="1" applyAlignment="1">
      <alignment horizontal="right"/>
    </xf>
    <xf numFmtId="0" fontId="6" fillId="8" borderId="1" xfId="2" applyFont="1" applyFill="1" applyBorder="1" applyAlignment="1"/>
    <xf numFmtId="0" fontId="5" fillId="11" borderId="2" xfId="2" applyFont="1" applyFill="1" applyBorder="1"/>
    <xf numFmtId="0" fontId="5" fillId="11" borderId="3" xfId="2" applyFont="1" applyFill="1" applyBorder="1"/>
    <xf numFmtId="0" fontId="6" fillId="5" borderId="1" xfId="2" applyFont="1" applyFill="1" applyBorder="1" applyAlignment="1"/>
    <xf numFmtId="0" fontId="6" fillId="4" borderId="1" xfId="2" applyFont="1" applyFill="1" applyBorder="1" applyAlignment="1">
      <alignment horizontal="left"/>
    </xf>
    <xf numFmtId="0" fontId="5" fillId="10" borderId="2" xfId="2" applyFont="1" applyFill="1" applyBorder="1"/>
    <xf numFmtId="0" fontId="5" fillId="10" borderId="3" xfId="2" applyFont="1" applyFill="1" applyBorder="1"/>
    <xf numFmtId="0" fontId="3" fillId="2" borderId="0" xfId="2" applyFont="1" applyFill="1" applyAlignment="1">
      <alignment horizontal="left" vertical="center"/>
    </xf>
    <xf numFmtId="0" fontId="4" fillId="0" borderId="1" xfId="2" applyFont="1" applyBorder="1" applyAlignment="1"/>
    <xf numFmtId="0" fontId="6" fillId="3" borderId="1" xfId="2" applyFont="1" applyFill="1" applyBorder="1" applyAlignment="1"/>
    <xf numFmtId="0" fontId="6" fillId="3" borderId="2" xfId="2" applyFont="1" applyFill="1" applyBorder="1" applyAlignment="1"/>
    <xf numFmtId="0" fontId="6" fillId="3" borderId="3" xfId="2" applyFont="1" applyFill="1" applyBorder="1" applyAlignment="1"/>
  </cellXfs>
  <cellStyles count="3">
    <cellStyle name="Moeda" xfId="1" builtinId="4"/>
    <cellStyle name="Normal" xfId="0" builtinId="0"/>
    <cellStyle name="Normal 3" xfId="2" xr:uid="{7C5E6253-5DC6-4FB9-98CF-2A4922CF05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67B7B-24BC-49AA-A360-0142D1EB1F8D}">
  <dimension ref="A1:M61"/>
  <sheetViews>
    <sheetView tabSelected="1" topLeftCell="A7" zoomScaleNormal="100" workbookViewId="0">
      <selection activeCell="H22" sqref="H22"/>
    </sheetView>
  </sheetViews>
  <sheetFormatPr defaultRowHeight="15" x14ac:dyDescent="0.25"/>
  <cols>
    <col min="4" max="4" width="15.7109375" bestFit="1" customWidth="1"/>
    <col min="6" max="6" width="33" customWidth="1"/>
    <col min="7" max="7" width="15.7109375" bestFit="1" customWidth="1"/>
    <col min="8" max="8" width="15.28515625" bestFit="1" customWidth="1"/>
    <col min="12" max="12" width="18.85546875" bestFit="1" customWidth="1"/>
    <col min="13" max="13" width="16.7109375" bestFit="1" customWidth="1"/>
  </cols>
  <sheetData>
    <row r="1" spans="1:13" ht="23.25" x14ac:dyDescent="0.25">
      <c r="A1" s="42" t="s">
        <v>0</v>
      </c>
      <c r="B1" s="42"/>
      <c r="C1" s="42"/>
      <c r="D1" s="42"/>
      <c r="E1" s="42"/>
      <c r="F1" s="42"/>
      <c r="G1" s="42"/>
    </row>
    <row r="2" spans="1:13" x14ac:dyDescent="0.25">
      <c r="A2" s="1"/>
      <c r="B2" s="2"/>
      <c r="C2" s="2"/>
      <c r="D2" s="3"/>
      <c r="E2" s="4"/>
    </row>
    <row r="3" spans="1:13" x14ac:dyDescent="0.25">
      <c r="A3" s="43"/>
      <c r="B3" s="32"/>
      <c r="C3" s="33"/>
      <c r="D3" s="5" t="s">
        <v>1</v>
      </c>
      <c r="E3" s="4"/>
      <c r="F3" s="25" t="s">
        <v>10</v>
      </c>
      <c r="G3" s="26"/>
      <c r="H3" s="27"/>
      <c r="I3" s="4"/>
    </row>
    <row r="4" spans="1:13" x14ac:dyDescent="0.25">
      <c r="A4" s="44" t="s">
        <v>4</v>
      </c>
      <c r="B4" s="45"/>
      <c r="C4" s="45"/>
      <c r="D4" s="46"/>
      <c r="E4" s="4"/>
      <c r="F4" s="28" t="s">
        <v>31</v>
      </c>
      <c r="G4" s="27"/>
      <c r="H4" s="10">
        <v>1000</v>
      </c>
      <c r="I4" s="4"/>
    </row>
    <row r="5" spans="1:13" x14ac:dyDescent="0.25">
      <c r="A5" s="31" t="s">
        <v>5</v>
      </c>
      <c r="B5" s="32"/>
      <c r="C5" s="33"/>
      <c r="D5" s="10">
        <v>1200</v>
      </c>
      <c r="E5" s="4"/>
      <c r="F5" s="28" t="s">
        <v>32</v>
      </c>
      <c r="G5" s="27"/>
      <c r="H5" s="10">
        <v>0</v>
      </c>
      <c r="I5" s="4"/>
    </row>
    <row r="6" spans="1:13" x14ac:dyDescent="0.25">
      <c r="A6" s="31" t="s">
        <v>7</v>
      </c>
      <c r="B6" s="32"/>
      <c r="C6" s="33"/>
      <c r="D6" s="10">
        <v>900</v>
      </c>
      <c r="E6" s="4"/>
      <c r="F6" s="28" t="s">
        <v>33</v>
      </c>
      <c r="G6" s="27"/>
      <c r="H6" s="10">
        <v>0</v>
      </c>
      <c r="I6" s="4"/>
    </row>
    <row r="7" spans="1:13" x14ac:dyDescent="0.25">
      <c r="A7" s="31" t="s">
        <v>9</v>
      </c>
      <c r="B7" s="32"/>
      <c r="C7" s="33"/>
      <c r="D7" s="10">
        <v>300</v>
      </c>
      <c r="E7" s="4"/>
      <c r="F7" s="28" t="s">
        <v>34</v>
      </c>
      <c r="G7" s="27"/>
      <c r="H7" s="10">
        <v>0</v>
      </c>
      <c r="I7" s="4"/>
    </row>
    <row r="8" spans="1:13" x14ac:dyDescent="0.25">
      <c r="A8" s="31" t="s">
        <v>11</v>
      </c>
      <c r="B8" s="32"/>
      <c r="C8" s="33"/>
      <c r="D8" s="10">
        <v>300</v>
      </c>
      <c r="E8" s="4"/>
      <c r="F8" s="28" t="s">
        <v>35</v>
      </c>
      <c r="G8" s="27"/>
      <c r="H8" s="10">
        <v>0</v>
      </c>
      <c r="I8" s="4"/>
    </row>
    <row r="9" spans="1:13" x14ac:dyDescent="0.25">
      <c r="A9" s="31" t="s">
        <v>13</v>
      </c>
      <c r="B9" s="32"/>
      <c r="C9" s="33"/>
      <c r="D9" s="10">
        <v>800</v>
      </c>
      <c r="E9" s="4"/>
      <c r="F9" s="28" t="s">
        <v>36</v>
      </c>
      <c r="G9" s="27"/>
      <c r="H9" s="10">
        <v>0</v>
      </c>
      <c r="I9" s="4"/>
    </row>
    <row r="10" spans="1:13" x14ac:dyDescent="0.25">
      <c r="A10" s="34" t="s">
        <v>15</v>
      </c>
      <c r="B10" s="32"/>
      <c r="C10" s="33"/>
      <c r="D10" s="16">
        <f>SUM(D5:D9)</f>
        <v>3500</v>
      </c>
      <c r="E10" s="4"/>
      <c r="F10" s="29" t="s">
        <v>15</v>
      </c>
      <c r="G10" s="27"/>
      <c r="H10" s="22">
        <f>SUM(H4:H9)</f>
        <v>1000</v>
      </c>
      <c r="I10" s="4"/>
      <c r="K10" s="4"/>
      <c r="L10" s="4"/>
      <c r="M10" s="4"/>
    </row>
    <row r="11" spans="1:13" x14ac:dyDescent="0.25">
      <c r="A11" s="4"/>
      <c r="B11" s="4"/>
      <c r="C11" s="4"/>
      <c r="D11" s="19"/>
      <c r="E11" s="4"/>
      <c r="F11" s="4"/>
      <c r="G11" s="4"/>
      <c r="H11" s="19"/>
      <c r="I11" s="4"/>
      <c r="K11" s="6"/>
      <c r="L11" s="7" t="s">
        <v>2</v>
      </c>
      <c r="M11" s="7" t="s">
        <v>3</v>
      </c>
    </row>
    <row r="12" spans="1:13" x14ac:dyDescent="0.25">
      <c r="A12" s="39" t="s">
        <v>6</v>
      </c>
      <c r="B12" s="40"/>
      <c r="C12" s="40"/>
      <c r="D12" s="41"/>
      <c r="E12" s="4"/>
      <c r="F12" s="30" t="s">
        <v>12</v>
      </c>
      <c r="G12" s="26"/>
      <c r="H12" s="27"/>
      <c r="I12" s="4"/>
      <c r="K12" s="8"/>
      <c r="L12" s="9" t="s">
        <v>4</v>
      </c>
      <c r="M12" s="10">
        <f>D10</f>
        <v>3500</v>
      </c>
    </row>
    <row r="13" spans="1:13" x14ac:dyDescent="0.25">
      <c r="A13" s="31" t="s">
        <v>16</v>
      </c>
      <c r="B13" s="32"/>
      <c r="C13" s="33"/>
      <c r="D13" s="10">
        <v>1200</v>
      </c>
      <c r="E13" s="4"/>
      <c r="F13" s="28" t="s">
        <v>37</v>
      </c>
      <c r="G13" s="27"/>
      <c r="H13" s="10">
        <v>0</v>
      </c>
      <c r="I13" s="4"/>
      <c r="K13" s="11"/>
      <c r="L13" s="9" t="s">
        <v>6</v>
      </c>
      <c r="M13" s="10">
        <f>D22</f>
        <v>5150</v>
      </c>
    </row>
    <row r="14" spans="1:13" x14ac:dyDescent="0.25">
      <c r="A14" s="31" t="s">
        <v>17</v>
      </c>
      <c r="B14" s="32"/>
      <c r="C14" s="33"/>
      <c r="D14" s="10">
        <v>400</v>
      </c>
      <c r="E14" s="4"/>
      <c r="F14" s="28" t="s">
        <v>5</v>
      </c>
      <c r="G14" s="27"/>
      <c r="H14" s="10">
        <v>0</v>
      </c>
      <c r="I14" s="4"/>
      <c r="K14" s="12"/>
      <c r="L14" s="9" t="s">
        <v>8</v>
      </c>
      <c r="M14" s="10">
        <f>D31</f>
        <v>1070</v>
      </c>
    </row>
    <row r="15" spans="1:13" x14ac:dyDescent="0.25">
      <c r="A15" s="31" t="s">
        <v>18</v>
      </c>
      <c r="B15" s="32"/>
      <c r="C15" s="33"/>
      <c r="D15" s="10">
        <v>100</v>
      </c>
      <c r="E15" s="4"/>
      <c r="F15" s="28" t="s">
        <v>38</v>
      </c>
      <c r="G15" s="27"/>
      <c r="H15" s="10">
        <v>0</v>
      </c>
      <c r="I15" s="4"/>
      <c r="K15" s="13"/>
      <c r="L15" s="9" t="s">
        <v>10</v>
      </c>
      <c r="M15" s="10">
        <f>H10</f>
        <v>1000</v>
      </c>
    </row>
    <row r="16" spans="1:13" x14ac:dyDescent="0.25">
      <c r="A16" s="31" t="s">
        <v>19</v>
      </c>
      <c r="B16" s="32"/>
      <c r="C16" s="33"/>
      <c r="D16" s="10">
        <v>300</v>
      </c>
      <c r="E16" s="4"/>
      <c r="F16" s="28" t="s">
        <v>39</v>
      </c>
      <c r="G16" s="27"/>
      <c r="H16" s="10"/>
      <c r="I16" s="4"/>
      <c r="K16" s="14"/>
      <c r="L16" s="9" t="s">
        <v>12</v>
      </c>
      <c r="M16" s="10">
        <f>H23</f>
        <v>5</v>
      </c>
    </row>
    <row r="17" spans="1:13" x14ac:dyDescent="0.25">
      <c r="A17" s="31" t="s">
        <v>20</v>
      </c>
      <c r="B17" s="32"/>
      <c r="C17" s="33"/>
      <c r="D17" s="10">
        <v>800</v>
      </c>
      <c r="E17" s="4"/>
      <c r="F17" s="28" t="s">
        <v>40</v>
      </c>
      <c r="G17" s="27"/>
      <c r="H17" s="10">
        <v>0</v>
      </c>
      <c r="I17" s="4"/>
      <c r="K17" s="15"/>
      <c r="L17" s="9" t="s">
        <v>14</v>
      </c>
      <c r="M17" s="10">
        <f>H32</f>
        <v>2400</v>
      </c>
    </row>
    <row r="18" spans="1:13" x14ac:dyDescent="0.25">
      <c r="A18" s="31" t="s">
        <v>21</v>
      </c>
      <c r="B18" s="32"/>
      <c r="C18" s="33"/>
      <c r="D18" s="10">
        <v>150</v>
      </c>
      <c r="E18" s="4"/>
      <c r="F18" s="28" t="s">
        <v>41</v>
      </c>
      <c r="G18" s="27"/>
      <c r="H18" s="10">
        <v>0</v>
      </c>
      <c r="I18" s="4"/>
      <c r="K18" s="4"/>
      <c r="L18" s="17" t="s">
        <v>3</v>
      </c>
      <c r="M18" s="18">
        <f>SUM(M12:M17)</f>
        <v>13125</v>
      </c>
    </row>
    <row r="19" spans="1:13" x14ac:dyDescent="0.25">
      <c r="A19" s="31" t="s">
        <v>22</v>
      </c>
      <c r="B19" s="32"/>
      <c r="C19" s="33"/>
      <c r="D19" s="10">
        <v>1000</v>
      </c>
      <c r="E19" s="4"/>
      <c r="F19" s="28" t="s">
        <v>42</v>
      </c>
      <c r="G19" s="27"/>
      <c r="H19" s="10">
        <v>0</v>
      </c>
      <c r="I19" s="4"/>
    </row>
    <row r="20" spans="1:13" x14ac:dyDescent="0.25">
      <c r="A20" s="31" t="s">
        <v>23</v>
      </c>
      <c r="B20" s="32"/>
      <c r="C20" s="33"/>
      <c r="D20" s="10">
        <v>400</v>
      </c>
      <c r="E20" s="4"/>
      <c r="F20" s="28" t="s">
        <v>43</v>
      </c>
      <c r="G20" s="27"/>
      <c r="H20" s="10">
        <v>0</v>
      </c>
      <c r="I20" s="4"/>
    </row>
    <row r="21" spans="1:13" x14ac:dyDescent="0.25">
      <c r="A21" s="31" t="s">
        <v>24</v>
      </c>
      <c r="B21" s="32"/>
      <c r="C21" s="33"/>
      <c r="D21" s="10">
        <v>800</v>
      </c>
      <c r="E21" s="4"/>
      <c r="F21" s="28" t="s">
        <v>44</v>
      </c>
      <c r="G21" s="27"/>
      <c r="H21" s="10">
        <v>5</v>
      </c>
      <c r="I21" s="4"/>
    </row>
    <row r="22" spans="1:13" x14ac:dyDescent="0.25">
      <c r="A22" s="34" t="s">
        <v>15</v>
      </c>
      <c r="B22" s="32"/>
      <c r="C22" s="33"/>
      <c r="D22" s="20">
        <f>SUM(D13:D21)</f>
        <v>5150</v>
      </c>
      <c r="E22" s="4"/>
      <c r="F22" s="28" t="s">
        <v>16</v>
      </c>
      <c r="G22" s="27"/>
      <c r="H22" s="10">
        <v>0</v>
      </c>
      <c r="I22" s="4"/>
    </row>
    <row r="23" spans="1:13" x14ac:dyDescent="0.25">
      <c r="A23" s="4"/>
      <c r="B23" s="4"/>
      <c r="C23" s="4"/>
      <c r="D23" s="19"/>
      <c r="E23" s="4"/>
      <c r="F23" s="29" t="s">
        <v>15</v>
      </c>
      <c r="G23" s="27"/>
      <c r="H23" s="23">
        <f>SUM(H13:H22)</f>
        <v>5</v>
      </c>
      <c r="I23" s="4"/>
    </row>
    <row r="24" spans="1:13" x14ac:dyDescent="0.25">
      <c r="A24" s="38" t="s">
        <v>25</v>
      </c>
      <c r="B24" s="32"/>
      <c r="C24" s="32"/>
      <c r="D24" s="33"/>
      <c r="E24" s="4"/>
      <c r="F24" s="4"/>
      <c r="G24" s="4"/>
      <c r="H24" s="19"/>
      <c r="I24" s="4"/>
    </row>
    <row r="25" spans="1:13" x14ac:dyDescent="0.25">
      <c r="A25" s="31" t="s">
        <v>26</v>
      </c>
      <c r="B25" s="32"/>
      <c r="C25" s="33"/>
      <c r="D25" s="10">
        <v>0</v>
      </c>
      <c r="E25" s="4"/>
      <c r="F25" s="35" t="s">
        <v>14</v>
      </c>
      <c r="G25" s="36"/>
      <c r="H25" s="37"/>
      <c r="I25" s="4"/>
    </row>
    <row r="26" spans="1:13" x14ac:dyDescent="0.25">
      <c r="A26" s="31" t="s">
        <v>27</v>
      </c>
      <c r="B26" s="32"/>
      <c r="C26" s="33"/>
      <c r="D26" s="10">
        <v>0</v>
      </c>
      <c r="E26" s="4"/>
      <c r="F26" s="31" t="s">
        <v>5</v>
      </c>
      <c r="G26" s="32"/>
      <c r="H26" s="10">
        <v>0</v>
      </c>
      <c r="I26" s="4"/>
    </row>
    <row r="27" spans="1:13" x14ac:dyDescent="0.25">
      <c r="A27" s="31" t="s">
        <v>28</v>
      </c>
      <c r="B27" s="32"/>
      <c r="C27" s="33"/>
      <c r="D27" s="10">
        <v>400</v>
      </c>
      <c r="E27" s="4"/>
      <c r="F27" s="31" t="s">
        <v>7</v>
      </c>
      <c r="G27" s="32"/>
      <c r="H27" s="10">
        <v>0</v>
      </c>
      <c r="I27" s="4"/>
    </row>
    <row r="28" spans="1:13" x14ac:dyDescent="0.25">
      <c r="A28" s="31" t="s">
        <v>29</v>
      </c>
      <c r="B28" s="32"/>
      <c r="C28" s="33"/>
      <c r="D28" s="10">
        <v>50</v>
      </c>
      <c r="E28" s="4"/>
      <c r="F28" s="31" t="s">
        <v>45</v>
      </c>
      <c r="G28" s="32"/>
      <c r="H28" s="10">
        <v>0</v>
      </c>
      <c r="I28" s="4"/>
    </row>
    <row r="29" spans="1:13" x14ac:dyDescent="0.25">
      <c r="A29" s="28" t="s">
        <v>48</v>
      </c>
      <c r="B29" s="26"/>
      <c r="C29" s="27"/>
      <c r="D29" s="10">
        <v>500</v>
      </c>
      <c r="E29" s="4"/>
      <c r="F29" s="28"/>
      <c r="G29" s="26"/>
      <c r="H29" s="10">
        <v>2000</v>
      </c>
      <c r="I29" s="4"/>
    </row>
    <row r="30" spans="1:13" x14ac:dyDescent="0.25">
      <c r="A30" s="31" t="s">
        <v>30</v>
      </c>
      <c r="B30" s="32"/>
      <c r="C30" s="33"/>
      <c r="D30" s="10">
        <v>120</v>
      </c>
      <c r="E30" s="4"/>
      <c r="F30" s="31" t="s">
        <v>46</v>
      </c>
      <c r="G30" s="33"/>
      <c r="H30" s="10">
        <v>350</v>
      </c>
      <c r="I30" s="4"/>
    </row>
    <row r="31" spans="1:13" x14ac:dyDescent="0.25">
      <c r="A31" s="34" t="s">
        <v>15</v>
      </c>
      <c r="B31" s="32"/>
      <c r="C31" s="33"/>
      <c r="D31" s="21">
        <f>SUM(D25:D30)</f>
        <v>1070</v>
      </c>
      <c r="E31" s="4"/>
      <c r="F31" s="31" t="s">
        <v>47</v>
      </c>
      <c r="G31" s="33"/>
      <c r="H31" s="10">
        <v>50</v>
      </c>
      <c r="I31" s="4"/>
    </row>
    <row r="32" spans="1:13" x14ac:dyDescent="0.25">
      <c r="A32" s="4"/>
      <c r="B32" s="4"/>
      <c r="C32" s="4"/>
      <c r="D32" s="19"/>
      <c r="E32" s="4"/>
      <c r="F32" s="34" t="s">
        <v>15</v>
      </c>
      <c r="G32" s="33"/>
      <c r="H32" s="24">
        <f>SUM(H26:H31)</f>
        <v>2400</v>
      </c>
      <c r="I32" s="4"/>
    </row>
    <row r="44" spans="6:7" x14ac:dyDescent="0.25">
      <c r="F44" s="4"/>
      <c r="G44" s="4"/>
    </row>
    <row r="45" spans="6:7" x14ac:dyDescent="0.25">
      <c r="F45" s="4"/>
      <c r="G45" s="4"/>
    </row>
    <row r="46" spans="6:7" x14ac:dyDescent="0.25">
      <c r="F46" s="4"/>
      <c r="G46" s="4"/>
    </row>
    <row r="47" spans="6:7" x14ac:dyDescent="0.25">
      <c r="F47" s="4"/>
      <c r="G47" s="4"/>
    </row>
    <row r="48" spans="6:7" x14ac:dyDescent="0.25">
      <c r="F48" s="4"/>
      <c r="G48" s="4"/>
    </row>
    <row r="49" spans="6:7" x14ac:dyDescent="0.25">
      <c r="F49" s="4"/>
      <c r="G49" s="4"/>
    </row>
    <row r="50" spans="6:7" x14ac:dyDescent="0.25">
      <c r="F50" s="4"/>
      <c r="G50" s="4"/>
    </row>
    <row r="51" spans="6:7" x14ac:dyDescent="0.25">
      <c r="F51" s="4"/>
      <c r="G51" s="4"/>
    </row>
    <row r="52" spans="6:7" x14ac:dyDescent="0.25">
      <c r="F52" s="4"/>
      <c r="G52" s="4"/>
    </row>
    <row r="53" spans="6:7" x14ac:dyDescent="0.25">
      <c r="F53" s="4"/>
      <c r="G53" s="4"/>
    </row>
    <row r="54" spans="6:7" x14ac:dyDescent="0.25">
      <c r="F54" s="4"/>
      <c r="G54" s="4"/>
    </row>
    <row r="55" spans="6:7" x14ac:dyDescent="0.25">
      <c r="F55" s="4"/>
      <c r="G55" s="4"/>
    </row>
    <row r="56" spans="6:7" x14ac:dyDescent="0.25">
      <c r="F56" s="4"/>
      <c r="G56" s="4"/>
    </row>
    <row r="57" spans="6:7" x14ac:dyDescent="0.25">
      <c r="F57" s="4"/>
      <c r="G57" s="4"/>
    </row>
    <row r="58" spans="6:7" x14ac:dyDescent="0.25">
      <c r="F58" s="4"/>
      <c r="G58" s="4"/>
    </row>
    <row r="59" spans="6:7" x14ac:dyDescent="0.25">
      <c r="F59" s="4"/>
      <c r="G59" s="4"/>
    </row>
    <row r="60" spans="6:7" x14ac:dyDescent="0.25">
      <c r="F60" s="4"/>
      <c r="G60" s="4"/>
    </row>
    <row r="61" spans="6:7" x14ac:dyDescent="0.25">
      <c r="F61" s="4"/>
      <c r="G61" s="4"/>
    </row>
  </sheetData>
  <mergeCells count="34">
    <mergeCell ref="A7:C7"/>
    <mergeCell ref="A1:G1"/>
    <mergeCell ref="A3:C3"/>
    <mergeCell ref="A4:D4"/>
    <mergeCell ref="A5:C5"/>
    <mergeCell ref="A6:C6"/>
    <mergeCell ref="A20:C20"/>
    <mergeCell ref="A8:C8"/>
    <mergeCell ref="A9:C9"/>
    <mergeCell ref="A10:C10"/>
    <mergeCell ref="A12:D12"/>
    <mergeCell ref="A13:C13"/>
    <mergeCell ref="A14:C14"/>
    <mergeCell ref="A15:C15"/>
    <mergeCell ref="A16:C16"/>
    <mergeCell ref="A17:C17"/>
    <mergeCell ref="A18:C18"/>
    <mergeCell ref="A19:C19"/>
    <mergeCell ref="A21:C21"/>
    <mergeCell ref="A22:C22"/>
    <mergeCell ref="A24:D24"/>
    <mergeCell ref="A25:C25"/>
    <mergeCell ref="A26:C26"/>
    <mergeCell ref="F32:G32"/>
    <mergeCell ref="F25:H25"/>
    <mergeCell ref="A28:C28"/>
    <mergeCell ref="A30:C30"/>
    <mergeCell ref="A31:C31"/>
    <mergeCell ref="A27:C27"/>
    <mergeCell ref="F26:G26"/>
    <mergeCell ref="F27:G27"/>
    <mergeCell ref="F28:G28"/>
    <mergeCell ref="F30:G30"/>
    <mergeCell ref="F31:G3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Lucas Silva da Luz</dc:creator>
  <cp:lastModifiedBy>RICARDO LEITE DA SILVA ROCHA</cp:lastModifiedBy>
  <dcterms:created xsi:type="dcterms:W3CDTF">2025-11-06T23:14:13Z</dcterms:created>
  <dcterms:modified xsi:type="dcterms:W3CDTF">2025-11-07T00:15:33Z</dcterms:modified>
</cp:coreProperties>
</file>