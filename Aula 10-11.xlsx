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338739409\Desktop\Excel Basico\"/>
    </mc:Choice>
  </mc:AlternateContent>
  <xr:revisionPtr revIDLastSave="0" documentId="13_ncr:1_{8CB3DB6E-AA0E-440F-A352-459B0CB2B4FD}" xr6:coauthVersionLast="36" xr6:coauthVersionMax="47" xr10:uidLastSave="{00000000-0000-0000-0000-000000000000}"/>
  <bookViews>
    <workbookView xWindow="2235" yWindow="2235" windowWidth="17280" windowHeight="8880" xr2:uid="{E848AD03-18ED-462F-9C6C-AB7F36CEF1D4}"/>
  </bookViews>
  <sheets>
    <sheet name="Cont.núm | Contar.vazio" sheetId="1" r:id="rId1"/>
    <sheet name="SomarProduto | Custo de Serviço" sheetId="2" r:id="rId2"/>
    <sheet name="SomarProduto | Ite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3" l="1"/>
  <c r="C11" i="3"/>
  <c r="D11" i="3"/>
  <c r="C16" i="3"/>
  <c r="D4" i="3"/>
  <c r="D5" i="3"/>
  <c r="D6" i="3"/>
  <c r="D7" i="3"/>
  <c r="D8" i="3"/>
  <c r="D9" i="3"/>
  <c r="D10" i="3"/>
  <c r="D3" i="3"/>
  <c r="D7" i="2"/>
  <c r="B9" i="2"/>
  <c r="D4" i="2"/>
  <c r="D5" i="2"/>
  <c r="D6" i="2"/>
  <c r="D3" i="2"/>
  <c r="E15" i="1"/>
  <c r="E10" i="1"/>
  <c r="E5" i="1"/>
  <c r="E33" i="1" l="1"/>
  <c r="E28" i="1"/>
  <c r="E23" i="1"/>
</calcChain>
</file>

<file path=xl/sharedStrings.xml><?xml version="1.0" encoding="utf-8"?>
<sst xmlns="http://schemas.openxmlformats.org/spreadsheetml/2006/main" count="60" uniqueCount="40">
  <si>
    <t>Clientes Empresa XYZ</t>
  </si>
  <si>
    <t>Cliente</t>
  </si>
  <si>
    <t>Valor</t>
  </si>
  <si>
    <t>Quantos pagaram</t>
  </si>
  <si>
    <t>Carmen</t>
  </si>
  <si>
    <t>Ana Luisa</t>
  </si>
  <si>
    <t>Géssica</t>
  </si>
  <si>
    <t>Lidia</t>
  </si>
  <si>
    <t>Marieta</t>
  </si>
  <si>
    <t>Quantos devem</t>
  </si>
  <si>
    <t>Marina</t>
  </si>
  <si>
    <t>Valmir</t>
  </si>
  <si>
    <t>Isaque</t>
  </si>
  <si>
    <t>Tiago</t>
  </si>
  <si>
    <t>Heitor</t>
  </si>
  <si>
    <t>Nº de clientes</t>
  </si>
  <si>
    <t>Judith</t>
  </si>
  <si>
    <t>Eduardo</t>
  </si>
  <si>
    <t>Victor</t>
  </si>
  <si>
    <t>Arthur</t>
  </si>
  <si>
    <t>Valor Hora</t>
  </si>
  <si>
    <t>Hora (mês)</t>
  </si>
  <si>
    <t>Segurança</t>
  </si>
  <si>
    <t>Limpeza</t>
  </si>
  <si>
    <t>Marketing</t>
  </si>
  <si>
    <t>Secretária</t>
  </si>
  <si>
    <t>Valor Total</t>
  </si>
  <si>
    <t>Item</t>
  </si>
  <si>
    <t>Quantidade</t>
  </si>
  <si>
    <t>Preço</t>
  </si>
  <si>
    <t>Total</t>
  </si>
  <si>
    <t>Impressora</t>
  </si>
  <si>
    <t>Mouse</t>
  </si>
  <si>
    <t>Notebook</t>
  </si>
  <si>
    <t>Relógio</t>
  </si>
  <si>
    <t>Scanner</t>
  </si>
  <si>
    <t>Smart TV</t>
  </si>
  <si>
    <t>SmartPhone</t>
  </si>
  <si>
    <t>Teclado</t>
  </si>
  <si>
    <t>Valor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</si>
</sst>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24"/>
      <color theme="0" tint="-0.49998474074526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B740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</fills>
  <borders count="24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indexed="64"/>
      </right>
      <top style="medium">
        <color theme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thin">
        <color theme="0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thick">
        <color theme="0"/>
      </top>
      <bottom/>
      <diagonal/>
    </border>
    <border>
      <left style="thin">
        <color theme="0"/>
      </left>
      <right style="medium">
        <color theme="1"/>
      </right>
      <top style="thick">
        <color theme="0"/>
      </top>
      <bottom/>
      <diagonal/>
    </border>
    <border>
      <left style="medium">
        <color theme="1"/>
      </left>
      <right/>
      <top style="thin">
        <color theme="0"/>
      </top>
      <bottom/>
      <diagonal/>
    </border>
    <border>
      <left style="thin">
        <color theme="0"/>
      </left>
      <right style="medium">
        <color theme="1"/>
      </right>
      <top style="thin">
        <color theme="0"/>
      </top>
      <bottom/>
      <diagonal/>
    </border>
    <border>
      <left style="medium">
        <color theme="1"/>
      </left>
      <right/>
      <top style="thin">
        <color theme="0"/>
      </top>
      <bottom style="medium">
        <color theme="1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medium">
        <color theme="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9">
    <xf numFmtId="0" fontId="0" fillId="0" borderId="0" xfId="0"/>
    <xf numFmtId="0" fontId="4" fillId="2" borderId="1" xfId="0" applyFont="1" applyFill="1" applyBorder="1" applyAlignment="1">
      <alignment horizontal="centerContinuous"/>
    </xf>
    <xf numFmtId="0" fontId="4" fillId="2" borderId="2" xfId="0" applyFont="1" applyFill="1" applyBorder="1" applyAlignment="1">
      <alignment horizontal="centerContinuous"/>
    </xf>
    <xf numFmtId="44" fontId="0" fillId="0" borderId="0" xfId="1" applyFont="1" applyBorder="1"/>
    <xf numFmtId="44" fontId="0" fillId="0" borderId="0" xfId="1" applyFont="1"/>
    <xf numFmtId="0" fontId="2" fillId="9" borderId="15" xfId="0" applyFont="1" applyFill="1" applyBorder="1"/>
    <xf numFmtId="0" fontId="2" fillId="9" borderId="16" xfId="0" applyFont="1" applyFill="1" applyBorder="1"/>
    <xf numFmtId="0" fontId="0" fillId="10" borderId="17" xfId="0" applyFill="1" applyBorder="1"/>
    <xf numFmtId="44" fontId="0" fillId="10" borderId="18" xfId="1" applyFont="1" applyFill="1" applyBorder="1"/>
    <xf numFmtId="0" fontId="0" fillId="11" borderId="19" xfId="0" applyFill="1" applyBorder="1"/>
    <xf numFmtId="44" fontId="0" fillId="11" borderId="20" xfId="1" applyFont="1" applyFill="1" applyBorder="1"/>
    <xf numFmtId="0" fontId="0" fillId="10" borderId="19" xfId="0" applyFill="1" applyBorder="1"/>
    <xf numFmtId="44" fontId="0" fillId="10" borderId="20" xfId="1" applyFont="1" applyFill="1" applyBorder="1"/>
    <xf numFmtId="0" fontId="0" fillId="11" borderId="21" xfId="0" applyFill="1" applyBorder="1"/>
    <xf numFmtId="44" fontId="0" fillId="11" borderId="22" xfId="1" applyFont="1" applyFill="1" applyBorder="1"/>
    <xf numFmtId="0" fontId="3" fillId="0" borderId="23" xfId="0" applyFont="1" applyBorder="1"/>
    <xf numFmtId="44" fontId="0" fillId="0" borderId="23" xfId="1" applyFont="1" applyBorder="1"/>
    <xf numFmtId="0" fontId="0" fillId="0" borderId="23" xfId="0" applyBorder="1"/>
    <xf numFmtId="44" fontId="0" fillId="0" borderId="0" xfId="0" applyNumberFormat="1"/>
    <xf numFmtId="0" fontId="3" fillId="0" borderId="0" xfId="0" applyFont="1"/>
    <xf numFmtId="44" fontId="0" fillId="0" borderId="23" xfId="0" applyNumberFormat="1" applyBorder="1"/>
    <xf numFmtId="0" fontId="3" fillId="0" borderId="23" xfId="0" applyFont="1" applyBorder="1" applyAlignment="1">
      <alignment horizontal="right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5" fillId="8" borderId="9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0" fontId="5" fillId="8" borderId="14" xfId="0" applyFont="1" applyFill="1" applyBorder="1" applyAlignment="1">
      <alignment horizontal="center" vertical="center"/>
    </xf>
    <xf numFmtId="0" fontId="8" fillId="0" borderId="0" xfId="0" applyFont="1"/>
  </cellXfs>
  <cellStyles count="2">
    <cellStyle name="Moeda" xfId="1" builtinId="4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314325</xdr:colOff>
      <xdr:row>17</xdr:row>
      <xdr:rowOff>17322</xdr:rowOff>
    </xdr:to>
    <xdr:sp macro="" textlink="">
      <xdr:nvSpPr>
        <xdr:cNvPr id="7" name="Plano de Fundo" descr="Plano de Fundo">
          <a:extLst>
            <a:ext uri="{FF2B5EF4-FFF2-40B4-BE49-F238E27FC236}">
              <a16:creationId xmlns:a16="http://schemas.microsoft.com/office/drawing/2014/main" id="{9EC1FEBC-C1F7-4A33-A597-00D17F98152C}"/>
            </a:ext>
          </a:extLst>
        </xdr:cNvPr>
        <xdr:cNvSpPr/>
      </xdr:nvSpPr>
      <xdr:spPr>
        <a:xfrm>
          <a:off x="4610100" y="396240"/>
          <a:ext cx="7286625" cy="2821482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 rtl="0"/>
          <a:endParaRPr lang="en-US" sz="1100"/>
        </a:p>
      </xdr:txBody>
    </xdr:sp>
    <xdr:clientData/>
  </xdr:twoCellAnchor>
  <xdr:twoCellAnchor>
    <xdr:from>
      <xdr:col>8</xdr:col>
      <xdr:colOff>139330</xdr:colOff>
      <xdr:row>6</xdr:row>
      <xdr:rowOff>16420</xdr:rowOff>
    </xdr:from>
    <xdr:to>
      <xdr:col>19</xdr:col>
      <xdr:colOff>537522</xdr:colOff>
      <xdr:row>17</xdr:row>
      <xdr:rowOff>36195</xdr:rowOff>
    </xdr:to>
    <xdr:sp macro="" textlink="">
      <xdr:nvSpPr>
        <xdr:cNvPr id="8" name="txt_Etapa" descr="Você pode somar, subtrair, multiplicar e dividir no Excel sem usar as funções internas. Basta usar os operadores +, -, * e /. Todas as fórmulas começam com um sinal de igual (=).">
          <a:extLst>
            <a:ext uri="{FF2B5EF4-FFF2-40B4-BE49-F238E27FC236}">
              <a16:creationId xmlns:a16="http://schemas.microsoft.com/office/drawing/2014/main" id="{6066B610-9E89-4DF9-9463-BAA437089371}"/>
            </a:ext>
          </a:extLst>
        </xdr:cNvPr>
        <xdr:cNvSpPr txBox="1"/>
      </xdr:nvSpPr>
      <xdr:spPr>
        <a:xfrm>
          <a:off x="4749430" y="1159420"/>
          <a:ext cx="6760892" cy="207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* Quantos clientes pagaram?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* Quantos clientes são devedores?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* Quantos clientes temos?</a:t>
          </a:r>
          <a:endParaRPr lang="pt-br" sz="1100" b="0" i="0" u="none" strike="noStrike" kern="0" cap="none" spc="0" normalizeH="0" baseline="0">
            <a:ln>
              <a:noFill/>
            </a:ln>
            <a:solidFill>
              <a:schemeClr val="tx1">
                <a:lumMod val="75000"/>
                <a:lumOff val="25000"/>
              </a:schemeClr>
            </a:solidFill>
            <a:effectLst/>
            <a:uLnTx/>
            <a:uFillTx/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>
            <a:ln>
              <a:noFill/>
            </a:ln>
            <a:solidFill>
              <a:schemeClr val="tx1">
                <a:lumMod val="75000"/>
                <a:lumOff val="25000"/>
              </a:schemeClr>
            </a:solidFill>
            <a:effectLst/>
            <a:uLnTx/>
            <a:uFillTx/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Com base nos questionamentos acima, vamos utilizar as funções: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- Cont.núm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- Contar.vazio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- Cont.valores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>
            <a:ln>
              <a:noFill/>
            </a:ln>
            <a:solidFill>
              <a:schemeClr val="tx1">
                <a:lumMod val="75000"/>
                <a:lumOff val="25000"/>
              </a:schemeClr>
            </a:solidFill>
            <a:effectLst/>
            <a:uLnTx/>
            <a:uFillTx/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Aguarde orientações do seu professor para praticar esta atividade.</a:t>
          </a:r>
        </a:p>
      </xdr:txBody>
    </xdr:sp>
    <xdr:clientData/>
  </xdr:twoCellAnchor>
  <xdr:twoCellAnchor editAs="oneCell">
    <xdr:from>
      <xdr:col>11</xdr:col>
      <xdr:colOff>228600</xdr:colOff>
      <xdr:row>2</xdr:row>
      <xdr:rowOff>137160</xdr:rowOff>
    </xdr:from>
    <xdr:to>
      <xdr:col>15</xdr:col>
      <xdr:colOff>535132</xdr:colOff>
      <xdr:row>6</xdr:row>
      <xdr:rowOff>54922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FE3E3E56-2338-42FF-8DD2-57EBEC8B3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0" y="533400"/>
          <a:ext cx="2402032" cy="6645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502411</xdr:colOff>
      <xdr:row>3</xdr:row>
      <xdr:rowOff>0</xdr:rowOff>
    </xdr:from>
    <xdr:to>
      <xdr:col>19</xdr:col>
      <xdr:colOff>185859</xdr:colOff>
      <xdr:row>16</xdr:row>
      <xdr:rowOff>25992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89677E81-0BB6-41E2-B1A2-0FF9AD3AAEE0}"/>
            </a:ext>
          </a:extLst>
        </xdr:cNvPr>
        <xdr:cNvGrpSpPr/>
      </xdr:nvGrpSpPr>
      <xdr:grpSpPr>
        <a:xfrm>
          <a:off x="3636136" y="571500"/>
          <a:ext cx="8827448" cy="2712042"/>
          <a:chOff x="3683761" y="495300"/>
          <a:chExt cx="8827448" cy="2712042"/>
        </a:xfrm>
      </xdr:grpSpPr>
      <xdr:sp macro="" textlink="">
        <xdr:nvSpPr>
          <xdr:cNvPr id="4" name="Plano de Fundo" descr="Plano de Fundo">
            <a:extLst>
              <a:ext uri="{FF2B5EF4-FFF2-40B4-BE49-F238E27FC236}">
                <a16:creationId xmlns:a16="http://schemas.microsoft.com/office/drawing/2014/main" id="{045D21CA-5F41-45E9-80A1-34E9A573F7DD}"/>
              </a:ext>
            </a:extLst>
          </xdr:cNvPr>
          <xdr:cNvSpPr/>
        </xdr:nvSpPr>
        <xdr:spPr>
          <a:xfrm>
            <a:off x="3683761" y="495300"/>
            <a:ext cx="8827448" cy="2712042"/>
          </a:xfrm>
          <a:prstGeom prst="rect">
            <a:avLst/>
          </a:prstGeom>
          <a:solidFill>
            <a:srgbClr val="F5F5F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 rtl="0"/>
            <a:r>
              <a:rPr lang="en-US" sz="1100"/>
              <a:t>NEnsd</a:t>
            </a:r>
            <a:r>
              <a:rPr lang="en-US" sz="2800">
                <a:solidFill>
                  <a:schemeClr val="bg1">
                    <a:lumMod val="50000"/>
                  </a:schemeClr>
                </a:solidFill>
              </a:rPr>
              <a:t>Nesta</a:t>
            </a:r>
            <a:r>
              <a:rPr lang="en-US" sz="2800" baseline="0">
                <a:solidFill>
                  <a:schemeClr val="bg1">
                    <a:lumMod val="50000"/>
                  </a:schemeClr>
                </a:solidFill>
              </a:rPr>
              <a:t> Atividade</a:t>
            </a:r>
            <a:endParaRPr lang="en-US" sz="1100"/>
          </a:p>
        </xdr:txBody>
      </xdr:sp>
      <xdr:cxnSp macro="">
        <xdr:nvCxnSpPr>
          <xdr:cNvPr id="5" name="Linha superior" descr="Linha decorativa">
            <a:extLst>
              <a:ext uri="{FF2B5EF4-FFF2-40B4-BE49-F238E27FC236}">
                <a16:creationId xmlns:a16="http://schemas.microsoft.com/office/drawing/2014/main" id="{E2949D94-3E34-489E-9448-FBEB867E0322}"/>
              </a:ext>
            </a:extLst>
          </xdr:cNvPr>
          <xdr:cNvCxnSpPr>
            <a:cxnSpLocks/>
          </xdr:cNvCxnSpPr>
        </xdr:nvCxnSpPr>
        <xdr:spPr>
          <a:xfrm>
            <a:off x="3770789" y="1142021"/>
            <a:ext cx="6677328" cy="0"/>
          </a:xfrm>
          <a:prstGeom prst="line">
            <a:avLst/>
          </a:prstGeom>
          <a:ln w="25400">
            <a:solidFill>
              <a:srgbClr val="217346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" name="txt_Etapa" descr="Você pode somar, subtrair, multiplicar e dividir no Excel sem usar as funções internas. Basta usar os operadores +, -, * e /. Todas as fórmulas começam com um sinal de igual (=).">
            <a:extLst>
              <a:ext uri="{FF2B5EF4-FFF2-40B4-BE49-F238E27FC236}">
                <a16:creationId xmlns:a16="http://schemas.microsoft.com/office/drawing/2014/main" id="{B80D0DFA-3263-4F4E-AB21-F495D852BD69}"/>
              </a:ext>
            </a:extLst>
          </xdr:cNvPr>
          <xdr:cNvSpPr txBox="1"/>
        </xdr:nvSpPr>
        <xdr:spPr>
          <a:xfrm>
            <a:off x="3752850" y="1383538"/>
            <a:ext cx="6769045" cy="14137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100" b="0" i="0" kern="1200">
                <a:solidFill>
                  <a:schemeClr val="dk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Imagine que você deseja calcular quanto você gasta com determinados serviços, como: Segurança, Limpeza, Marketing e Atendimento (Secretária, neste caso).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pt-BR" sz="1100" b="0" i="0" u="none" strike="noStrike" kern="1200" cap="none" spc="0" normalizeH="0" baseline="0">
              <a:ln>
                <a:noFill/>
              </a:ln>
              <a:solidFill>
                <a:schemeClr val="dk1"/>
              </a:solidFill>
              <a:effectLst/>
              <a:uLnTx/>
              <a:uFillTx/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100" b="0" i="0" u="none" strike="noStrike" kern="1200" cap="none" spc="0" normalizeH="0" baseline="0">
                <a:ln>
                  <a:noFill/>
                </a:ln>
                <a:solidFill>
                  <a:schemeClr val="dk1"/>
                </a:solidFill>
                <a:effectLst/>
                <a:uLnTx/>
                <a:uFillTx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Utilizaremos nesta atividade a Função SomarProduto</a:t>
            </a:r>
            <a:endParaRPr kumimoji="0" lang="en-U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209550</xdr:colOff>
      <xdr:row>12</xdr:row>
      <xdr:rowOff>48364</xdr:rowOff>
    </xdr:to>
    <xdr:sp macro="" textlink="">
      <xdr:nvSpPr>
        <xdr:cNvPr id="2" name="Plano de Fundo" descr="Plano de Fundo">
          <a:extLst>
            <a:ext uri="{FF2B5EF4-FFF2-40B4-BE49-F238E27FC236}">
              <a16:creationId xmlns:a16="http://schemas.microsoft.com/office/drawing/2014/main" id="{1B0E3746-6EE4-486E-ADA6-9BAF7C5D7C60}"/>
            </a:ext>
          </a:extLst>
        </xdr:cNvPr>
        <xdr:cNvSpPr/>
      </xdr:nvSpPr>
      <xdr:spPr>
        <a:xfrm>
          <a:off x="5128260" y="182880"/>
          <a:ext cx="5695950" cy="2060044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 rtl="0"/>
          <a:endParaRPr lang="en-US" sz="1100"/>
        </a:p>
      </xdr:txBody>
    </xdr:sp>
    <xdr:clientData/>
  </xdr:twoCellAnchor>
  <xdr:twoCellAnchor>
    <xdr:from>
      <xdr:col>5</xdr:col>
      <xdr:colOff>75519</xdr:colOff>
      <xdr:row>1</xdr:row>
      <xdr:rowOff>0</xdr:rowOff>
    </xdr:from>
    <xdr:to>
      <xdr:col>13</xdr:col>
      <xdr:colOff>415270</xdr:colOff>
      <xdr:row>2</xdr:row>
      <xdr:rowOff>177312</xdr:rowOff>
    </xdr:to>
    <xdr:sp macro="" textlink="">
      <xdr:nvSpPr>
        <xdr:cNvPr id="3" name="Etapa" descr="Noções básicas: fazer cálculos no Excel&#10;">
          <a:extLst>
            <a:ext uri="{FF2B5EF4-FFF2-40B4-BE49-F238E27FC236}">
              <a16:creationId xmlns:a16="http://schemas.microsoft.com/office/drawing/2014/main" id="{DB13B4CE-2A9E-4F96-81F4-082A822999FC}"/>
            </a:ext>
          </a:extLst>
        </xdr:cNvPr>
        <xdr:cNvSpPr txBox="1"/>
      </xdr:nvSpPr>
      <xdr:spPr>
        <a:xfrm>
          <a:off x="5203779" y="182880"/>
          <a:ext cx="5216551" cy="3601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2200" b="0" i="0" u="none" strike="noStrike" kern="0" cap="none" spc="0" normalizeH="0" baseline="0">
              <a:ln>
                <a:noFill/>
              </a:ln>
              <a:solidFill>
                <a:schemeClr val="bg2">
                  <a:lumMod val="25000"/>
                </a:schemeClr>
              </a:solidFill>
              <a:effectLst/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Nesta atividade</a:t>
          </a:r>
          <a:endParaRPr kumimoji="0" lang="en-US" sz="2200" b="1" i="1" u="none" strike="noStrike" kern="0" cap="none" spc="0" normalizeH="0" baseline="0">
            <a:ln>
              <a:noFill/>
            </a:ln>
            <a:solidFill>
              <a:schemeClr val="bg2">
                <a:lumMod val="25000"/>
              </a:schemeClr>
            </a:solidFill>
            <a:effectLst/>
            <a:uLnTx/>
            <a:uFillTx/>
            <a:latin typeface="Segoe UI Light" panose="020B0502040204020203" pitchFamily="34" charset="0"/>
            <a:ea typeface="Segoe UI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5</xdr:col>
      <xdr:colOff>66063</xdr:colOff>
      <xdr:row>4</xdr:row>
      <xdr:rowOff>31637</xdr:rowOff>
    </xdr:from>
    <xdr:to>
      <xdr:col>13</xdr:col>
      <xdr:colOff>402639</xdr:colOff>
      <xdr:row>4</xdr:row>
      <xdr:rowOff>31637</xdr:rowOff>
    </xdr:to>
    <xdr:cxnSp macro="">
      <xdr:nvCxnSpPr>
        <xdr:cNvPr id="4" name="Linha superior" descr="Linha decorativa">
          <a:extLst>
            <a:ext uri="{FF2B5EF4-FFF2-40B4-BE49-F238E27FC236}">
              <a16:creationId xmlns:a16="http://schemas.microsoft.com/office/drawing/2014/main" id="{E77DF217-7335-4BA4-BF63-CBC76B8E87DD}"/>
            </a:ext>
          </a:extLst>
        </xdr:cNvPr>
        <xdr:cNvCxnSpPr>
          <a:cxnSpLocks/>
        </xdr:cNvCxnSpPr>
      </xdr:nvCxnSpPr>
      <xdr:spPr>
        <a:xfrm>
          <a:off x="5194323" y="763157"/>
          <a:ext cx="5213376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</xdr:row>
      <xdr:rowOff>111781</xdr:rowOff>
    </xdr:from>
    <xdr:to>
      <xdr:col>13</xdr:col>
      <xdr:colOff>408185</xdr:colOff>
      <xdr:row>11</xdr:row>
      <xdr:rowOff>169494</xdr:rowOff>
    </xdr:to>
    <xdr:sp macro="" textlink="">
      <xdr:nvSpPr>
        <xdr:cNvPr id="5" name="txt_Etapa" descr="Você pode somar, subtrair, multiplicar e dividir no Excel sem usar as funções internas. Basta usar os operadores +, -, * e /. Todas as fórmulas começam com um sinal de igual (=).">
          <a:extLst>
            <a:ext uri="{FF2B5EF4-FFF2-40B4-BE49-F238E27FC236}">
              <a16:creationId xmlns:a16="http://schemas.microsoft.com/office/drawing/2014/main" id="{E502DFCF-8FFA-4806-84F1-AF364B8F5401}"/>
            </a:ext>
          </a:extLst>
        </xdr:cNvPr>
        <xdr:cNvSpPr txBox="1"/>
      </xdr:nvSpPr>
      <xdr:spPr>
        <a:xfrm>
          <a:off x="5128260" y="843301"/>
          <a:ext cx="5284985" cy="13378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 i="0" kern="1200">
              <a:solidFill>
                <a:schemeClr val="dk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Neste caso, vamos fazer de</a:t>
          </a:r>
          <a:r>
            <a:rPr lang="pt-BR" sz="1100" b="0" i="0" kern="1200" baseline="0">
              <a:solidFill>
                <a:schemeClr val="dk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 uma maneira rápida o quanto lucramos no final do dia com vários itens de nosso estabelecimento vendidos.</a:t>
          </a:r>
          <a:endParaRPr lang="pt-BR" sz="1100" b="0" i="0" kern="1200">
            <a:solidFill>
              <a:schemeClr val="dk1"/>
            </a:solidFill>
            <a:effectLst/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100" b="0" i="0" u="none" strike="noStrike" kern="1200" cap="none" spc="0" normalizeH="0" baseline="0">
            <a:ln>
              <a:noFill/>
            </a:ln>
            <a:solidFill>
              <a:schemeClr val="dk1"/>
            </a:solidFill>
            <a:effectLst/>
            <a:uLnTx/>
            <a:uFillTx/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0" i="0" u="none" strike="noStrike" kern="1200" cap="none" spc="0" normalizeH="0" baseline="0">
              <a:ln>
                <a:noFill/>
              </a:ln>
              <a:solidFill>
                <a:schemeClr val="dk1"/>
              </a:solidFill>
              <a:effectLst/>
              <a:uLnTx/>
              <a:uFillTx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Utilizaremos nesta atividade a Função SomarProduto</a:t>
          </a:r>
          <a:endParaRPr kumimoji="0" lang="en-US" sz="1100" b="0" i="0" u="none" strike="noStrike" kern="0" cap="none" spc="0" normalizeH="0" baseline="0">
            <a:ln>
              <a:noFill/>
            </a:ln>
            <a:solidFill>
              <a:schemeClr val="tx1">
                <a:lumMod val="75000"/>
                <a:lumOff val="25000"/>
              </a:schemeClr>
            </a:solidFill>
            <a:effectLst/>
            <a:uLnTx/>
            <a:uFillTx/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470857-806B-4838-BD84-F3D30538F2CE}" name="tblclientesdevedores16" displayName="tblclientesdevedores16" ref="B3:C17" totalsRowShown="0" tableBorderDxfId="1">
  <autoFilter ref="B3:C17" xr:uid="{CC470857-806B-4838-BD84-F3D30538F2CE}"/>
  <tableColumns count="2">
    <tableColumn id="1" xr3:uid="{2A4979A0-DC31-41A2-BA28-906397FEFEA0}" name="Cliente"/>
    <tableColumn id="2" xr3:uid="{3F2AE55A-4696-49C8-8700-CFCD2E2C9F1E}" name="Valor" dataDxfId="0" dataCellStyle="Moeda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8681A-3C20-4A34-87E5-D7529720869C}">
  <dimension ref="B1:G34"/>
  <sheetViews>
    <sheetView tabSelected="1" zoomScale="70" zoomScaleNormal="70" workbookViewId="0">
      <selection activeCell="E17" sqref="E17"/>
    </sheetView>
  </sheetViews>
  <sheetFormatPr defaultRowHeight="15.75" customHeight="1" x14ac:dyDescent="0.25"/>
  <cols>
    <col min="1" max="1" width="3.28515625" customWidth="1"/>
    <col min="2" max="2" width="16.42578125" customWidth="1"/>
    <col min="3" max="3" width="16.28515625" customWidth="1"/>
    <col min="4" max="4" width="3.7109375" customWidth="1"/>
    <col min="5" max="7" width="7.7109375" customWidth="1"/>
    <col min="8" max="8" width="4.42578125" customWidth="1"/>
    <col min="12" max="12" width="3.85546875" customWidth="1"/>
  </cols>
  <sheetData>
    <row r="1" spans="2:7" thickBot="1" x14ac:dyDescent="0.3"/>
    <row r="2" spans="2:7" ht="16.5" thickBot="1" x14ac:dyDescent="0.3">
      <c r="B2" s="1" t="s">
        <v>0</v>
      </c>
      <c r="C2" s="2"/>
    </row>
    <row r="3" spans="2:7" ht="15" x14ac:dyDescent="0.25">
      <c r="B3" t="s">
        <v>1</v>
      </c>
      <c r="C3" t="s">
        <v>2</v>
      </c>
      <c r="E3" s="22" t="s">
        <v>3</v>
      </c>
      <c r="F3" s="23"/>
      <c r="G3" s="24"/>
    </row>
    <row r="4" spans="2:7" thickBot="1" x14ac:dyDescent="0.3">
      <c r="B4" t="s">
        <v>4</v>
      </c>
      <c r="C4" s="3">
        <v>3378</v>
      </c>
      <c r="E4" s="25"/>
      <c r="F4" s="26"/>
      <c r="G4" s="27"/>
    </row>
    <row r="5" spans="2:7" ht="15" x14ac:dyDescent="0.25">
      <c r="B5" t="s">
        <v>5</v>
      </c>
      <c r="C5" s="3">
        <v>1765</v>
      </c>
      <c r="E5" s="28">
        <f>COUNT(tblclientesdevedores16[Valor])</f>
        <v>10</v>
      </c>
      <c r="F5" s="29"/>
      <c r="G5" s="30"/>
    </row>
    <row r="6" spans="2:7" thickBot="1" x14ac:dyDescent="0.3">
      <c r="B6" t="s">
        <v>6</v>
      </c>
      <c r="C6" s="3"/>
      <c r="E6" s="31"/>
      <c r="F6" s="32"/>
      <c r="G6" s="33"/>
    </row>
    <row r="7" spans="2:7" thickBot="1" x14ac:dyDescent="0.3">
      <c r="B7" t="s">
        <v>7</v>
      </c>
      <c r="C7" s="3">
        <v>986</v>
      </c>
    </row>
    <row r="8" spans="2:7" ht="15" x14ac:dyDescent="0.25">
      <c r="B8" t="s">
        <v>8</v>
      </c>
      <c r="C8" s="3">
        <v>1521</v>
      </c>
      <c r="E8" s="34" t="s">
        <v>9</v>
      </c>
      <c r="F8" s="35"/>
      <c r="G8" s="36"/>
    </row>
    <row r="9" spans="2:7" thickBot="1" x14ac:dyDescent="0.3">
      <c r="B9" t="s">
        <v>10</v>
      </c>
      <c r="C9" s="3">
        <v>1809</v>
      </c>
      <c r="E9" s="37"/>
      <c r="F9" s="38"/>
      <c r="G9" s="39"/>
    </row>
    <row r="10" spans="2:7" ht="15" x14ac:dyDescent="0.25">
      <c r="B10" t="s">
        <v>11</v>
      </c>
      <c r="C10" s="3"/>
      <c r="E10" s="40">
        <f>COUNTBLANK(tblclientesdevedores16[Valor])</f>
        <v>4</v>
      </c>
      <c r="F10" s="41"/>
      <c r="G10" s="42"/>
    </row>
    <row r="11" spans="2:7" thickBot="1" x14ac:dyDescent="0.3">
      <c r="B11" t="s">
        <v>12</v>
      </c>
      <c r="C11" s="3">
        <v>2833</v>
      </c>
      <c r="E11" s="43"/>
      <c r="F11" s="44"/>
      <c r="G11" s="45"/>
    </row>
    <row r="12" spans="2:7" thickBot="1" x14ac:dyDescent="0.3">
      <c r="B12" t="s">
        <v>13</v>
      </c>
      <c r="C12" s="3">
        <v>2613</v>
      </c>
    </row>
    <row r="13" spans="2:7" ht="15" x14ac:dyDescent="0.25">
      <c r="B13" t="s">
        <v>14</v>
      </c>
      <c r="C13" s="3"/>
      <c r="E13" s="46" t="s">
        <v>15</v>
      </c>
      <c r="F13" s="47"/>
      <c r="G13" s="48"/>
    </row>
    <row r="14" spans="2:7" thickBot="1" x14ac:dyDescent="0.3">
      <c r="B14" t="s">
        <v>16</v>
      </c>
      <c r="C14" s="3">
        <v>3231</v>
      </c>
      <c r="E14" s="49"/>
      <c r="F14" s="50"/>
      <c r="G14" s="51"/>
    </row>
    <row r="15" spans="2:7" ht="15" x14ac:dyDescent="0.25">
      <c r="B15" t="s">
        <v>17</v>
      </c>
      <c r="C15" s="3"/>
      <c r="E15" s="52">
        <f>COUNTA(tblclientesdevedores16[Cliente])</f>
        <v>14</v>
      </c>
      <c r="F15" s="53"/>
      <c r="G15" s="54"/>
    </row>
    <row r="16" spans="2:7" thickBot="1" x14ac:dyDescent="0.3">
      <c r="B16" t="s">
        <v>18</v>
      </c>
      <c r="C16" s="4">
        <v>9987</v>
      </c>
      <c r="E16" s="55"/>
      <c r="F16" s="56"/>
      <c r="G16" s="57"/>
    </row>
    <row r="17" spans="2:7" ht="15" x14ac:dyDescent="0.25">
      <c r="B17" t="s">
        <v>19</v>
      </c>
      <c r="C17" s="4">
        <v>1000</v>
      </c>
    </row>
    <row r="19" spans="2:7" thickBot="1" x14ac:dyDescent="0.3"/>
    <row r="20" spans="2:7" thickBot="1" x14ac:dyDescent="0.3">
      <c r="B20" s="5" t="s">
        <v>1</v>
      </c>
      <c r="C20" s="6" t="s">
        <v>2</v>
      </c>
    </row>
    <row r="21" spans="2:7" thickTop="1" x14ac:dyDescent="0.25">
      <c r="B21" s="7" t="s">
        <v>4</v>
      </c>
      <c r="C21" s="8">
        <v>3378</v>
      </c>
      <c r="E21" s="22" t="s">
        <v>3</v>
      </c>
      <c r="F21" s="23"/>
      <c r="G21" s="24"/>
    </row>
    <row r="22" spans="2:7" thickBot="1" x14ac:dyDescent="0.3">
      <c r="B22" s="9" t="s">
        <v>5</v>
      </c>
      <c r="C22" s="10">
        <v>1765</v>
      </c>
      <c r="E22" s="25"/>
      <c r="F22" s="26"/>
      <c r="G22" s="27"/>
    </row>
    <row r="23" spans="2:7" ht="15" x14ac:dyDescent="0.25">
      <c r="B23" s="11" t="s">
        <v>6</v>
      </c>
      <c r="C23" s="12"/>
      <c r="E23" s="28">
        <f>COUNT(C21:C34)</f>
        <v>10</v>
      </c>
      <c r="F23" s="29"/>
      <c r="G23" s="30"/>
    </row>
    <row r="24" spans="2:7" thickBot="1" x14ac:dyDescent="0.3">
      <c r="B24" s="9" t="s">
        <v>7</v>
      </c>
      <c r="C24" s="10">
        <v>986</v>
      </c>
      <c r="E24" s="31"/>
      <c r="F24" s="32"/>
      <c r="G24" s="33"/>
    </row>
    <row r="25" spans="2:7" thickBot="1" x14ac:dyDescent="0.3">
      <c r="B25" s="11" t="s">
        <v>8</v>
      </c>
      <c r="C25" s="12">
        <v>1521</v>
      </c>
    </row>
    <row r="26" spans="2:7" ht="15" x14ac:dyDescent="0.25">
      <c r="B26" s="9" t="s">
        <v>10</v>
      </c>
      <c r="C26" s="10">
        <v>1809</v>
      </c>
      <c r="E26" s="34" t="s">
        <v>9</v>
      </c>
      <c r="F26" s="35"/>
      <c r="G26" s="36"/>
    </row>
    <row r="27" spans="2:7" thickBot="1" x14ac:dyDescent="0.3">
      <c r="B27" s="11" t="s">
        <v>11</v>
      </c>
      <c r="C27" s="12"/>
      <c r="E27" s="37"/>
      <c r="F27" s="38"/>
      <c r="G27" s="39"/>
    </row>
    <row r="28" spans="2:7" ht="15" x14ac:dyDescent="0.25">
      <c r="B28" s="9" t="s">
        <v>12</v>
      </c>
      <c r="C28" s="10">
        <v>2833</v>
      </c>
      <c r="E28" s="40">
        <f>COUNTBLANK(C21:C34)</f>
        <v>4</v>
      </c>
      <c r="F28" s="41"/>
      <c r="G28" s="42"/>
    </row>
    <row r="29" spans="2:7" thickBot="1" x14ac:dyDescent="0.3">
      <c r="B29" s="11" t="s">
        <v>13</v>
      </c>
      <c r="C29" s="12">
        <v>2613</v>
      </c>
      <c r="E29" s="43"/>
      <c r="F29" s="44"/>
      <c r="G29" s="45"/>
    </row>
    <row r="30" spans="2:7" thickBot="1" x14ac:dyDescent="0.3">
      <c r="B30" s="9" t="s">
        <v>14</v>
      </c>
      <c r="C30" s="10"/>
    </row>
    <row r="31" spans="2:7" ht="15" x14ac:dyDescent="0.25">
      <c r="B31" s="11" t="s">
        <v>16</v>
      </c>
      <c r="C31" s="12">
        <v>3231</v>
      </c>
      <c r="E31" s="46" t="s">
        <v>15</v>
      </c>
      <c r="F31" s="47"/>
      <c r="G31" s="48"/>
    </row>
    <row r="32" spans="2:7" thickBot="1" x14ac:dyDescent="0.3">
      <c r="B32" s="9" t="s">
        <v>17</v>
      </c>
      <c r="C32" s="10"/>
      <c r="E32" s="49"/>
      <c r="F32" s="50"/>
      <c r="G32" s="51"/>
    </row>
    <row r="33" spans="2:7" ht="15" x14ac:dyDescent="0.25">
      <c r="B33" s="11" t="s">
        <v>18</v>
      </c>
      <c r="C33" s="12">
        <v>9987</v>
      </c>
      <c r="E33" s="52">
        <f>COUNTA(B21:B34)</f>
        <v>14</v>
      </c>
      <c r="F33" s="53"/>
      <c r="G33" s="54"/>
    </row>
    <row r="34" spans="2:7" thickBot="1" x14ac:dyDescent="0.3">
      <c r="B34" s="13" t="s">
        <v>19</v>
      </c>
      <c r="C34" s="14">
        <v>1000</v>
      </c>
      <c r="E34" s="55"/>
      <c r="F34" s="56"/>
      <c r="G34" s="57"/>
    </row>
  </sheetData>
  <mergeCells count="12">
    <mergeCell ref="E33:G34"/>
    <mergeCell ref="E3:G4"/>
    <mergeCell ref="E5:G6"/>
    <mergeCell ref="E8:G9"/>
    <mergeCell ref="E10:G11"/>
    <mergeCell ref="E13:G14"/>
    <mergeCell ref="E15:G16"/>
    <mergeCell ref="E21:G22"/>
    <mergeCell ref="E23:G24"/>
    <mergeCell ref="E26:G27"/>
    <mergeCell ref="E28:G29"/>
    <mergeCell ref="E31:G32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2726C-7A34-4DB1-8F11-68B31E7C2C33}">
  <dimension ref="A2:H9"/>
  <sheetViews>
    <sheetView workbookViewId="0">
      <selection activeCell="J19" sqref="J19"/>
    </sheetView>
  </sheetViews>
  <sheetFormatPr defaultRowHeight="15" x14ac:dyDescent="0.25"/>
  <cols>
    <col min="1" max="1" width="10.140625" bestFit="1" customWidth="1"/>
    <col min="2" max="2" width="13.28515625" bestFit="1" customWidth="1"/>
    <col min="3" max="3" width="10.28515625" bestFit="1" customWidth="1"/>
    <col min="4" max="4" width="13.28515625" bestFit="1" customWidth="1"/>
  </cols>
  <sheetData>
    <row r="2" spans="1:8" x14ac:dyDescent="0.25">
      <c r="B2" s="15" t="s">
        <v>20</v>
      </c>
      <c r="C2" s="15" t="s">
        <v>21</v>
      </c>
    </row>
    <row r="3" spans="1:8" x14ac:dyDescent="0.25">
      <c r="A3" s="15" t="s">
        <v>22</v>
      </c>
      <c r="B3" s="16">
        <v>50</v>
      </c>
      <c r="C3" s="17">
        <v>240</v>
      </c>
      <c r="D3" s="18">
        <f>B3*C3</f>
        <v>12000</v>
      </c>
    </row>
    <row r="4" spans="1:8" ht="31.5" x14ac:dyDescent="0.5">
      <c r="A4" s="15" t="s">
        <v>23</v>
      </c>
      <c r="B4" s="16">
        <v>45</v>
      </c>
      <c r="C4" s="17">
        <v>132</v>
      </c>
      <c r="D4" s="18">
        <f t="shared" ref="D4:D6" si="0">B4*C4</f>
        <v>5940</v>
      </c>
      <c r="F4" s="58"/>
      <c r="G4" s="58"/>
      <c r="H4" s="58"/>
    </row>
    <row r="5" spans="1:8" x14ac:dyDescent="0.25">
      <c r="A5" s="15" t="s">
        <v>24</v>
      </c>
      <c r="B5" s="16">
        <v>55</v>
      </c>
      <c r="C5" s="17">
        <v>176</v>
      </c>
      <c r="D5" s="18">
        <f t="shared" si="0"/>
        <v>9680</v>
      </c>
    </row>
    <row r="6" spans="1:8" x14ac:dyDescent="0.25">
      <c r="A6" s="15" t="s">
        <v>25</v>
      </c>
      <c r="B6" s="16">
        <v>48</v>
      </c>
      <c r="C6" s="17">
        <v>176</v>
      </c>
      <c r="D6" s="18">
        <f t="shared" si="0"/>
        <v>8448</v>
      </c>
    </row>
    <row r="7" spans="1:8" x14ac:dyDescent="0.25">
      <c r="D7" s="18">
        <f>SUM(D3:D6)</f>
        <v>36068</v>
      </c>
    </row>
    <row r="9" spans="1:8" x14ac:dyDescent="0.25">
      <c r="A9" s="19" t="s">
        <v>26</v>
      </c>
      <c r="B9" s="16">
        <f>SUMPRODUCT(B3:B6,C3:C6)</f>
        <v>36068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D2B25-E8C7-411F-AC7A-E3CFA6BC4B96}">
  <dimension ref="A2:D16"/>
  <sheetViews>
    <sheetView workbookViewId="0">
      <selection activeCell="Q6" sqref="Q6"/>
    </sheetView>
  </sheetViews>
  <sheetFormatPr defaultRowHeight="15" x14ac:dyDescent="0.25"/>
  <cols>
    <col min="1" max="1" width="23.7109375" bestFit="1" customWidth="1"/>
    <col min="2" max="2" width="14" bestFit="1" customWidth="1"/>
    <col min="3" max="3" width="14.7109375" customWidth="1"/>
    <col min="4" max="4" width="13.140625" customWidth="1"/>
  </cols>
  <sheetData>
    <row r="2" spans="1:4" x14ac:dyDescent="0.25">
      <c r="A2" s="15" t="s">
        <v>27</v>
      </c>
      <c r="B2" s="15" t="s">
        <v>28</v>
      </c>
      <c r="C2" s="15" t="s">
        <v>29</v>
      </c>
      <c r="D2" s="15" t="s">
        <v>30</v>
      </c>
    </row>
    <row r="3" spans="1:4" x14ac:dyDescent="0.25">
      <c r="A3" s="15" t="s">
        <v>31</v>
      </c>
      <c r="B3" s="17">
        <v>2</v>
      </c>
      <c r="C3" s="16">
        <v>452</v>
      </c>
      <c r="D3" s="20">
        <f>SUM(B3*C3)</f>
        <v>904</v>
      </c>
    </row>
    <row r="4" spans="1:4" x14ac:dyDescent="0.25">
      <c r="A4" s="15" t="s">
        <v>32</v>
      </c>
      <c r="B4" s="17">
        <v>10</v>
      </c>
      <c r="C4" s="16">
        <v>30</v>
      </c>
      <c r="D4" s="20">
        <f t="shared" ref="D4:D11" si="0">SUM(B4*C4)</f>
        <v>300</v>
      </c>
    </row>
    <row r="5" spans="1:4" x14ac:dyDescent="0.25">
      <c r="A5" s="15" t="s">
        <v>33</v>
      </c>
      <c r="B5" s="17">
        <v>5</v>
      </c>
      <c r="C5" s="16">
        <v>2000</v>
      </c>
      <c r="D5" s="20">
        <f t="shared" si="0"/>
        <v>10000</v>
      </c>
    </row>
    <row r="6" spans="1:4" x14ac:dyDescent="0.25">
      <c r="A6" s="15" t="s">
        <v>34</v>
      </c>
      <c r="B6" s="17">
        <v>1</v>
      </c>
      <c r="C6" s="16">
        <v>75</v>
      </c>
      <c r="D6" s="20">
        <f t="shared" si="0"/>
        <v>75</v>
      </c>
    </row>
    <row r="7" spans="1:4" x14ac:dyDescent="0.25">
      <c r="A7" s="15" t="s">
        <v>35</v>
      </c>
      <c r="B7" s="17">
        <v>3</v>
      </c>
      <c r="C7" s="16">
        <v>321</v>
      </c>
      <c r="D7" s="20">
        <f t="shared" si="0"/>
        <v>963</v>
      </c>
    </row>
    <row r="8" spans="1:4" x14ac:dyDescent="0.25">
      <c r="A8" s="15" t="s">
        <v>36</v>
      </c>
      <c r="B8" s="17">
        <v>5</v>
      </c>
      <c r="C8" s="16">
        <v>1452</v>
      </c>
      <c r="D8" s="20">
        <f t="shared" si="0"/>
        <v>7260</v>
      </c>
    </row>
    <row r="9" spans="1:4" x14ac:dyDescent="0.25">
      <c r="A9" s="15" t="s">
        <v>37</v>
      </c>
      <c r="B9" s="17">
        <v>1</v>
      </c>
      <c r="C9" s="16">
        <v>1800</v>
      </c>
      <c r="D9" s="20">
        <f t="shared" si="0"/>
        <v>1800</v>
      </c>
    </row>
    <row r="10" spans="1:4" x14ac:dyDescent="0.25">
      <c r="A10" s="15" t="s">
        <v>38</v>
      </c>
      <c r="B10" s="17">
        <v>5</v>
      </c>
      <c r="C10" s="16">
        <v>45</v>
      </c>
      <c r="D10" s="20">
        <f t="shared" si="0"/>
        <v>225</v>
      </c>
    </row>
    <row r="11" spans="1:4" x14ac:dyDescent="0.25">
      <c r="A11" s="21" t="s">
        <v>39</v>
      </c>
      <c r="B11" s="16">
        <f>COUNT(B3:B10)</f>
        <v>8</v>
      </c>
      <c r="C11" s="16">
        <f>SUM(C3:C10)</f>
        <v>6175</v>
      </c>
      <c r="D11" s="20">
        <f>SUM(D3:D10)</f>
        <v>21527</v>
      </c>
    </row>
    <row r="16" spans="1:4" x14ac:dyDescent="0.25">
      <c r="B16" s="21" t="s">
        <v>39</v>
      </c>
      <c r="C16" s="16">
        <f>SUMPRODUCT(B3:B10,C3:C10)</f>
        <v>21527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Cont.núm | Contar.vazio</vt:lpstr>
      <vt:lpstr>SomarProduto | Custo de Serviço</vt:lpstr>
      <vt:lpstr>SomarProduto | Itens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Lucas S. da Luz</dc:creator>
  <cp:lastModifiedBy>RICARDO LEITE DA SILVA ROCHA</cp:lastModifiedBy>
  <dcterms:created xsi:type="dcterms:W3CDTF">2025-11-10T22:30:23Z</dcterms:created>
  <dcterms:modified xsi:type="dcterms:W3CDTF">2025-11-11T00:09:59Z</dcterms:modified>
</cp:coreProperties>
</file>